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Data Analyst\"/>
    </mc:Choice>
  </mc:AlternateContent>
  <xr:revisionPtr revIDLastSave="0" documentId="13_ncr:1_{2F766828-77D4-4853-81BD-DCC2D29FE05B}" xr6:coauthVersionLast="47" xr6:coauthVersionMax="47" xr10:uidLastSave="{00000000-0000-0000-0000-000000000000}"/>
  <bookViews>
    <workbookView xWindow="-120" yWindow="-120" windowWidth="29040" windowHeight="15720" activeTab="5" xr2:uid="{3C8D80E0-DCC4-4CAC-86FA-42F1E4D739B2}"/>
  </bookViews>
  <sheets>
    <sheet name="Sales Data 1" sheetId="2" r:id="rId1"/>
    <sheet name="Sales Data 2" sheetId="3" r:id="rId2"/>
    <sheet name="Sales Data" sheetId="4" r:id="rId3"/>
    <sheet name="PivotTables and PivotCharts" sheetId="7" r:id="rId4"/>
    <sheet name="DAX Measures" sheetId="6" r:id="rId5"/>
    <sheet name="Dashboard" sheetId="8" r:id="rId6"/>
  </sheets>
  <definedNames>
    <definedName name="_xlcn.WorksheetConnection_module6businessdashboard.xlsxSales_Data1" hidden="1">Sales_Data[]</definedName>
    <definedName name="ExternalData_1" localSheetId="0" hidden="1">'Sales Data 1'!$A$1:$I$21</definedName>
    <definedName name="ExternalData_2" localSheetId="2" hidden="1">'Sales Data'!$A$1:$I$41</definedName>
    <definedName name="ExternalData_2" localSheetId="1" hidden="1">'Sales Data 2'!$A$1:$I$21</definedName>
    <definedName name="NativeTimeline_Order_Date">#N/A</definedName>
    <definedName name="Slicer_Customer">#N/A</definedName>
    <definedName name="Slicer_Product">#N/A</definedName>
    <definedName name="Slicer_Region">#N/A</definedName>
  </definedNames>
  <calcPr calcId="191029"/>
  <pivotCaches>
    <pivotCache cacheId="6" r:id="rId7"/>
    <pivotCache cacheId="2542" r:id="rId8"/>
    <pivotCache cacheId="2545" r:id="rId9"/>
    <pivotCache cacheId="2548" r:id="rId10"/>
    <pivotCache cacheId="2551" r:id="rId11"/>
    <pivotCache cacheId="2554" r:id="rId12"/>
    <pivotCache cacheId="2557"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 name="Sales_Data" connection="WorksheetConnection_module-6-business-dashboard.xlsx!Sales_Data"/>
        </x15:modelTables>
      </x15:dataModel>
    </ext>
  </extLst>
</workbook>
</file>

<file path=xl/calcChain.xml><?xml version="1.0" encoding="utf-8"?>
<calcChain xmlns="http://schemas.openxmlformats.org/spreadsheetml/2006/main">
  <c r="AM53" i="8" l="1"/>
  <c r="AL51" i="8"/>
  <c r="AL49" i="8"/>
  <c r="AL47" i="8"/>
  <c r="AL45" i="8"/>
  <c r="AL55" i="8" l="1"/>
  <c r="H40"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5B848F-18F9-454B-B373-5A0A27968685}"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 id="2" xr16:uid="{E8239BE9-0A27-4EAC-A924-1162578DDF77}" keepAlive="1" name="Query - Sales Data 1" description="Connection to the 'Sales Data 1' query in the workbook." type="5" refreshedVersion="8" background="1" saveData="1">
    <dbPr connection="Provider=Microsoft.Mashup.OleDb.1;Data Source=$Workbook$;Location=&quot;Sales Data 1&quot;;Extended Properties=&quot;&quot;" command="SELECT * FROM [Sales Data 1]"/>
  </connection>
  <connection id="3" xr16:uid="{3D2B1C97-489B-4BBB-A6B5-0EF4DC08973E}" keepAlive="1" name="Query - Sales Data 2" description="Connection to the 'Sales Data 2' query in the workbook." type="5" refreshedVersion="8" background="1" saveData="1">
    <dbPr connection="Provider=Microsoft.Mashup.OleDb.1;Data Source=$Workbook$;Location=&quot;Sales Data 2&quot;;Extended Properties=&quot;&quot;" command="SELECT * FROM [Sales Data 2]"/>
  </connection>
  <connection id="4" xr16:uid="{A4E6A46B-AEF9-4F7C-AA2C-861824F1DB8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321BCEF4-F25F-4AFA-B80E-0050F7F4B79D}" name="WorksheetConnection_module-6-business-dashboard.xlsx!Sales_Data" type="102" refreshedVersion="8" minRefreshableVersion="5">
    <extLst>
      <ext xmlns:x15="http://schemas.microsoft.com/office/spreadsheetml/2010/11/main" uri="{DE250136-89BD-433C-8126-D09CA5730AF9}">
        <x15:connection id="Sales_Data">
          <x15:rangePr sourceName="_xlcn.WorksheetConnection_module6businessdashboard.xlsxSales_Data1"/>
        </x15:connection>
      </ext>
    </extLst>
  </connection>
</connections>
</file>

<file path=xl/sharedStrings.xml><?xml version="1.0" encoding="utf-8"?>
<sst xmlns="http://schemas.openxmlformats.org/spreadsheetml/2006/main" count="412" uniqueCount="75">
  <si>
    <t>Order ID</t>
  </si>
  <si>
    <t>Order Date</t>
  </si>
  <si>
    <t>Region</t>
  </si>
  <si>
    <t>Customer</t>
  </si>
  <si>
    <t>Product</t>
  </si>
  <si>
    <t>Quantity</t>
  </si>
  <si>
    <t>Sales Amount</t>
  </si>
  <si>
    <t>Cost</t>
  </si>
  <si>
    <t>Profit</t>
  </si>
  <si>
    <t>ORD-1001</t>
  </si>
  <si>
    <t>Dhaka</t>
  </si>
  <si>
    <t>Rahim Ahmed</t>
  </si>
  <si>
    <t>Laptop</t>
  </si>
  <si>
    <t>ORD-1002</t>
  </si>
  <si>
    <t>Chattogram</t>
  </si>
  <si>
    <t>Nusrat Jahan</t>
  </si>
  <si>
    <t>Monitor</t>
  </si>
  <si>
    <t>ORD-1003</t>
  </si>
  <si>
    <t>Karim Hasan</t>
  </si>
  <si>
    <t>Keyboard</t>
  </si>
  <si>
    <t>ORD-1004</t>
  </si>
  <si>
    <t>Sylhet</t>
  </si>
  <si>
    <t>Sadia Islam</t>
  </si>
  <si>
    <t>Mouse</t>
  </si>
  <si>
    <t>ORD-1005</t>
  </si>
  <si>
    <t>Rajshahi</t>
  </si>
  <si>
    <t>Tanvir Hossain</t>
  </si>
  <si>
    <t>ORD-1006</t>
  </si>
  <si>
    <t>Khulna</t>
  </si>
  <si>
    <t>Mim Akter</t>
  </si>
  <si>
    <t>ORD-1007</t>
  </si>
  <si>
    <t>Fahim Rahman</t>
  </si>
  <si>
    <t>Headset</t>
  </si>
  <si>
    <t>ORD-1008</t>
  </si>
  <si>
    <t>Jannatul Ferdous</t>
  </si>
  <si>
    <t>Printer</t>
  </si>
  <si>
    <t>ORD-1009</t>
  </si>
  <si>
    <t>Sakib Khan</t>
  </si>
  <si>
    <t>ORD-1010</t>
  </si>
  <si>
    <t>Ayesha Rahman</t>
  </si>
  <si>
    <t>ORD-1011</t>
  </si>
  <si>
    <t>Imran Hossain</t>
  </si>
  <si>
    <t>ORD-1012</t>
  </si>
  <si>
    <t>Sumaiya Akter</t>
  </si>
  <si>
    <t>ORD-1013</t>
  </si>
  <si>
    <t>Arif Chowdhury</t>
  </si>
  <si>
    <t>ORD-1014</t>
  </si>
  <si>
    <t>Rafiul Islam</t>
  </si>
  <si>
    <t>ORD-1015</t>
  </si>
  <si>
    <t>Mahiya Sultana</t>
  </si>
  <si>
    <t>ORD-1016</t>
  </si>
  <si>
    <t>Nayeem Hasan</t>
  </si>
  <si>
    <t>ORD-1017</t>
  </si>
  <si>
    <t>Shuvo Das</t>
  </si>
  <si>
    <t>ORD-1018</t>
  </si>
  <si>
    <t>Tania Akter</t>
  </si>
  <si>
    <t>ORD-1019</t>
  </si>
  <si>
    <t>Mahin Kabir</t>
  </si>
  <si>
    <t>ORD-1020</t>
  </si>
  <si>
    <t>Puja Roy</t>
  </si>
  <si>
    <t>Total Sales</t>
  </si>
  <si>
    <t>Total Quantity</t>
  </si>
  <si>
    <t>Average Sales per Order</t>
  </si>
  <si>
    <t>Total Profit</t>
  </si>
  <si>
    <t>Total Cost</t>
  </si>
  <si>
    <t>Profit Percentage</t>
  </si>
  <si>
    <t>Grand Total</t>
  </si>
  <si>
    <t>Sum of Sales Amount</t>
  </si>
  <si>
    <t>Jan</t>
  </si>
  <si>
    <t>Feb</t>
  </si>
  <si>
    <t>Mar</t>
  </si>
  <si>
    <t>Apr</t>
  </si>
  <si>
    <t xml:space="preserve">Order Date </t>
  </si>
  <si>
    <t>Average of Sales Amount</t>
  </si>
  <si>
    <t>KPI Helper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</si>
</sst>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rgb="FFFFFFFF"/>
      <name val="Calibri"/>
      <family val="2"/>
      <scheme val="minor"/>
    </font>
    <font>
      <b/>
      <sz val="16"/>
      <color theme="7"/>
      <name val="Calibri"/>
      <family val="2"/>
      <scheme val="minor"/>
    </font>
    <font>
      <sz val="20"/>
      <color theme="7"/>
      <name val="Calibri"/>
      <family val="2"/>
      <scheme val="minor"/>
    </font>
    <font>
      <sz val="14"/>
      <color theme="1"/>
      <name val="Calibri"/>
      <family val="2"/>
      <scheme val="minor"/>
    </font>
  </fonts>
  <fills count="6">
    <fill>
      <patternFill patternType="none"/>
    </fill>
    <fill>
      <patternFill patternType="gray125"/>
    </fill>
    <fill>
      <patternFill patternType="solid">
        <fgColor theme="5"/>
        <bgColor indexed="64"/>
      </patternFill>
    </fill>
    <fill>
      <patternFill patternType="solid">
        <fgColor theme="9"/>
        <bgColor indexed="64"/>
      </patternFill>
    </fill>
    <fill>
      <patternFill patternType="solid">
        <fgColor theme="4"/>
        <bgColor indexed="64"/>
      </patternFill>
    </fill>
    <fill>
      <patternFill patternType="solid">
        <fgColor theme="1"/>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horizontal="center"/>
    </xf>
    <xf numFmtId="14" fontId="0" fillId="0" borderId="0" xfId="0" applyNumberFormat="1" applyAlignment="1">
      <alignment horizontal="center"/>
    </xf>
    <xf numFmtId="10"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left"/>
    </xf>
    <xf numFmtId="0" fontId="0" fillId="3" borderId="0" xfId="0" applyFill="1"/>
    <xf numFmtId="0" fontId="0" fillId="3" borderId="0" xfId="0" applyFill="1" applyAlignment="1">
      <alignment horizontal="left"/>
    </xf>
    <xf numFmtId="0" fontId="0" fillId="4" borderId="0" xfId="0" applyFill="1"/>
    <xf numFmtId="0" fontId="0" fillId="4" borderId="0" xfId="0" applyFill="1" applyAlignment="1">
      <alignment horizontal="left"/>
    </xf>
    <xf numFmtId="0" fontId="0" fillId="5" borderId="0" xfId="0" applyFill="1"/>
    <xf numFmtId="0" fontId="1" fillId="5" borderId="0" xfId="0" applyFont="1" applyFill="1" applyAlignment="1">
      <alignment horizontal="right" vertical="center"/>
    </xf>
    <xf numFmtId="0" fontId="0" fillId="0" borderId="0" xfId="0" applyNumberFormat="1"/>
    <xf numFmtId="0" fontId="0" fillId="2" borderId="0" xfId="0" applyNumberFormat="1" applyFill="1"/>
    <xf numFmtId="0" fontId="0" fillId="4" borderId="0" xfId="0" applyNumberFormat="1" applyFill="1"/>
    <xf numFmtId="0" fontId="0" fillId="3" borderId="0" xfId="0" applyNumberFormat="1" applyFill="1"/>
    <xf numFmtId="0" fontId="2" fillId="0" borderId="0" xfId="0" applyFont="1" applyAlignment="1">
      <alignment horizontal="right" vertical="center"/>
    </xf>
    <xf numFmtId="0" fontId="3" fillId="0" borderId="0" xfId="0" applyFont="1" applyAlignment="1">
      <alignment horizontal="center" vertical="center"/>
    </xf>
    <xf numFmtId="0" fontId="4" fillId="0" borderId="0" xfId="0" applyFont="1"/>
    <xf numFmtId="1" fontId="0" fillId="0" borderId="0" xfId="0" applyNumberFormat="1"/>
  </cellXfs>
  <cellStyles count="1">
    <cellStyle name="Normal" xfId="0" builtinId="0"/>
  </cellStyles>
  <dxfs count="1001">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14" formatCode="0.00%"/>
    </dxf>
    <dxf>
      <numFmt numFmtId="14" formatCode="0.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2.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[module-6-business-dashboard.xlsx]PivotTables and PivotCharts!PivotTable6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 and PivotCharts'!$F$29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PivotCharts'!$E$30:$E$34</c:f>
              <c:strCache>
                <c:ptCount val="4"/>
                <c:pt idx="0">
                  <c:v>Jan</c:v>
                </c:pt>
                <c:pt idx="1">
                  <c:v>Feb</c:v>
                </c:pt>
                <c:pt idx="2">
                  <c:v>Mar</c:v>
                </c:pt>
                <c:pt idx="3">
                  <c:v>Apr</c:v>
                </c:pt>
              </c:strCache>
            </c:strRef>
          </c:cat>
          <c:val>
            <c:numRef>
              <c:f>'PivotTables and PivotCharts'!$F$30:$F$34</c:f>
              <c:numCache>
                <c:formatCode>General</c:formatCode>
                <c:ptCount val="4"/>
                <c:pt idx="0">
                  <c:v>858000</c:v>
                </c:pt>
                <c:pt idx="1">
                  <c:v>554700</c:v>
                </c:pt>
                <c:pt idx="2">
                  <c:v>724800</c:v>
                </c:pt>
                <c:pt idx="3">
                  <c:v>354500</c:v>
                </c:pt>
              </c:numCache>
            </c:numRef>
          </c:val>
          <c:smooth val="0"/>
          <c:extLst>
            <c:ext xmlns:c16="http://schemas.microsoft.com/office/drawing/2014/chart" uri="{C3380CC4-5D6E-409C-BE32-E72D297353CC}">
              <c16:uniqueId val="{00000000-D205-4E99-88F4-BC2103B5540D}"/>
            </c:ext>
          </c:extLst>
        </c:ser>
        <c:dLbls>
          <c:dLblPos val="t"/>
          <c:showLegendKey val="0"/>
          <c:showVal val="1"/>
          <c:showCatName val="0"/>
          <c:showSerName val="0"/>
          <c:showPercent val="0"/>
          <c:showBubbleSize val="0"/>
        </c:dLbls>
        <c:smooth val="0"/>
        <c:axId val="1247059375"/>
        <c:axId val="1247065615"/>
      </c:lineChart>
      <c:catAx>
        <c:axId val="1247059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065615"/>
        <c:crosses val="autoZero"/>
        <c:auto val="1"/>
        <c:lblAlgn val="ctr"/>
        <c:lblOffset val="100"/>
        <c:noMultiLvlLbl val="0"/>
      </c:catAx>
      <c:valAx>
        <c:axId val="124706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05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[module-6-business-dashboard.xlsx]PivotTables and PivotCharts!PivotTable2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layout>
        <c:manualLayout>
          <c:xMode val="edge"/>
          <c:yMode val="edge"/>
          <c:x val="0.4536111111111111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 and PivotCharts'!$B$3</c:f>
              <c:strCache>
                <c:ptCount val="1"/>
                <c:pt idx="0">
                  <c:v>Total</c:v>
                </c:pt>
              </c:strCache>
            </c:strRef>
          </c:tx>
          <c:spPr>
            <a:solidFill>
              <a:schemeClr val="accent1"/>
            </a:solidFill>
            <a:ln>
              <a:noFill/>
            </a:ln>
            <a:effectLst/>
          </c:spPr>
          <c:invertIfNegative val="0"/>
          <c:cat>
            <c:strRef>
              <c:f>'PivotTables and PivotCharts'!$A$4:$A$9</c:f>
              <c:strCache>
                <c:ptCount val="5"/>
                <c:pt idx="0">
                  <c:v>Chattogram</c:v>
                </c:pt>
                <c:pt idx="1">
                  <c:v>Dhaka</c:v>
                </c:pt>
                <c:pt idx="2">
                  <c:v>Khulna</c:v>
                </c:pt>
                <c:pt idx="3">
                  <c:v>Rajshahi</c:v>
                </c:pt>
                <c:pt idx="4">
                  <c:v>Sylhet</c:v>
                </c:pt>
              </c:strCache>
            </c:strRef>
          </c:cat>
          <c:val>
            <c:numRef>
              <c:f>'PivotTables and PivotCharts'!$B$4:$B$9</c:f>
              <c:numCache>
                <c:formatCode>General</c:formatCode>
                <c:ptCount val="5"/>
                <c:pt idx="0">
                  <c:v>504000</c:v>
                </c:pt>
                <c:pt idx="1">
                  <c:v>862000</c:v>
                </c:pt>
                <c:pt idx="2">
                  <c:v>559000</c:v>
                </c:pt>
                <c:pt idx="3">
                  <c:v>353500</c:v>
                </c:pt>
                <c:pt idx="4">
                  <c:v>213500</c:v>
                </c:pt>
              </c:numCache>
            </c:numRef>
          </c:val>
          <c:extLst>
            <c:ext xmlns:c16="http://schemas.microsoft.com/office/drawing/2014/chart" uri="{C3380CC4-5D6E-409C-BE32-E72D297353CC}">
              <c16:uniqueId val="{00000000-986E-44C0-A1CB-BFC244C6AFCC}"/>
            </c:ext>
          </c:extLst>
        </c:ser>
        <c:dLbls>
          <c:showLegendKey val="0"/>
          <c:showVal val="0"/>
          <c:showCatName val="0"/>
          <c:showSerName val="0"/>
          <c:showPercent val="0"/>
          <c:showBubbleSize val="0"/>
        </c:dLbls>
        <c:gapWidth val="219"/>
        <c:overlap val="-27"/>
        <c:axId val="1247082415"/>
        <c:axId val="1247083855"/>
      </c:barChart>
      <c:catAx>
        <c:axId val="124708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083855"/>
        <c:crosses val="autoZero"/>
        <c:auto val="1"/>
        <c:lblAlgn val="ctr"/>
        <c:lblOffset val="100"/>
        <c:noMultiLvlLbl val="0"/>
      </c:catAx>
      <c:valAx>
        <c:axId val="124708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08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[module-6-business-dashboard.xlsx]PivotTables and PivotCharts!PivotTable4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 and PivotCharts'!$F$17</c:f>
              <c:strCache>
                <c:ptCount val="1"/>
                <c:pt idx="0">
                  <c:v>Total</c:v>
                </c:pt>
              </c:strCache>
            </c:strRef>
          </c:tx>
          <c:spPr>
            <a:solidFill>
              <a:schemeClr val="accent1"/>
            </a:solidFill>
            <a:ln>
              <a:noFill/>
            </a:ln>
            <a:effectLst/>
          </c:spPr>
          <c:invertIfNegative val="0"/>
          <c:cat>
            <c:strRef>
              <c:f>'PivotTables and PivotCharts'!$E$18:$E$24</c:f>
              <c:strCache>
                <c:ptCount val="6"/>
                <c:pt idx="0">
                  <c:v>Headset</c:v>
                </c:pt>
                <c:pt idx="1">
                  <c:v>Keyboard</c:v>
                </c:pt>
                <c:pt idx="2">
                  <c:v>Laptop</c:v>
                </c:pt>
                <c:pt idx="3">
                  <c:v>Monitor</c:v>
                </c:pt>
                <c:pt idx="4">
                  <c:v>Mouse</c:v>
                </c:pt>
                <c:pt idx="5">
                  <c:v>Printer</c:v>
                </c:pt>
              </c:strCache>
            </c:strRef>
          </c:cat>
          <c:val>
            <c:numRef>
              <c:f>'PivotTables and PivotCharts'!$F$18:$F$24</c:f>
              <c:numCache>
                <c:formatCode>General</c:formatCode>
                <c:ptCount val="6"/>
                <c:pt idx="0">
                  <c:v>190000</c:v>
                </c:pt>
                <c:pt idx="1">
                  <c:v>156500</c:v>
                </c:pt>
                <c:pt idx="2">
                  <c:v>1121000</c:v>
                </c:pt>
                <c:pt idx="3">
                  <c:v>548500</c:v>
                </c:pt>
                <c:pt idx="4">
                  <c:v>105000</c:v>
                </c:pt>
                <c:pt idx="5">
                  <c:v>371000</c:v>
                </c:pt>
              </c:numCache>
            </c:numRef>
          </c:val>
          <c:extLst>
            <c:ext xmlns:c16="http://schemas.microsoft.com/office/drawing/2014/chart" uri="{C3380CC4-5D6E-409C-BE32-E72D297353CC}">
              <c16:uniqueId val="{00000000-9CAF-4948-BCAF-1B99C3B3F4C4}"/>
            </c:ext>
          </c:extLst>
        </c:ser>
        <c:dLbls>
          <c:showLegendKey val="0"/>
          <c:showVal val="0"/>
          <c:showCatName val="0"/>
          <c:showSerName val="0"/>
          <c:showPercent val="0"/>
          <c:showBubbleSize val="0"/>
        </c:dLbls>
        <c:gapWidth val="182"/>
        <c:axId val="1407805519"/>
        <c:axId val="1407817519"/>
      </c:barChart>
      <c:catAx>
        <c:axId val="140780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817519"/>
        <c:crosses val="autoZero"/>
        <c:auto val="1"/>
        <c:lblAlgn val="ctr"/>
        <c:lblOffset val="100"/>
        <c:noMultiLvlLbl val="0"/>
      </c:catAx>
      <c:valAx>
        <c:axId val="1407817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80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[module-6-business-dashboard.xlsx]PivotTables and PivotCharts!PivotTable5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 and PivotCharts'!$B$17</c:f>
              <c:strCache>
                <c:ptCount val="1"/>
                <c:pt idx="0">
                  <c:v>Total</c:v>
                </c:pt>
              </c:strCache>
            </c:strRef>
          </c:tx>
          <c:spPr>
            <a:solidFill>
              <a:schemeClr val="accent1"/>
            </a:solidFill>
            <a:ln>
              <a:noFill/>
            </a:ln>
            <a:effectLst/>
          </c:spPr>
          <c:invertIfNegative val="0"/>
          <c:cat>
            <c:strRef>
              <c:f>'PivotTables and PivotCharts'!$A$18:$A$38</c:f>
              <c:strCache>
                <c:ptCount val="20"/>
                <c:pt idx="0">
                  <c:v>Arif Chowdhury</c:v>
                </c:pt>
                <c:pt idx="1">
                  <c:v>Ayesha Rahman</c:v>
                </c:pt>
                <c:pt idx="2">
                  <c:v>Fahim Rahman</c:v>
                </c:pt>
                <c:pt idx="3">
                  <c:v>Imran Hossain</c:v>
                </c:pt>
                <c:pt idx="4">
                  <c:v>Jannatul Ferdous</c:v>
                </c:pt>
                <c:pt idx="5">
                  <c:v>Karim Hasan</c:v>
                </c:pt>
                <c:pt idx="6">
                  <c:v>Mahin Kabir</c:v>
                </c:pt>
                <c:pt idx="7">
                  <c:v>Mahiya Sultana</c:v>
                </c:pt>
                <c:pt idx="8">
                  <c:v>Mim Akter</c:v>
                </c:pt>
                <c:pt idx="9">
                  <c:v>Nayeem Hasan</c:v>
                </c:pt>
                <c:pt idx="10">
                  <c:v>Nusrat Jahan</c:v>
                </c:pt>
                <c:pt idx="11">
                  <c:v>Puja Roy</c:v>
                </c:pt>
                <c:pt idx="12">
                  <c:v>Rafiul Islam</c:v>
                </c:pt>
                <c:pt idx="13">
                  <c:v>Rahim Ahmed</c:v>
                </c:pt>
                <c:pt idx="14">
                  <c:v>Sadia Islam</c:v>
                </c:pt>
                <c:pt idx="15">
                  <c:v>Sakib Khan</c:v>
                </c:pt>
                <c:pt idx="16">
                  <c:v>Shuvo Das</c:v>
                </c:pt>
                <c:pt idx="17">
                  <c:v>Sumaiya Akter</c:v>
                </c:pt>
                <c:pt idx="18">
                  <c:v>Tania Akter</c:v>
                </c:pt>
                <c:pt idx="19">
                  <c:v>Tanvir Hossain</c:v>
                </c:pt>
              </c:strCache>
            </c:strRef>
          </c:cat>
          <c:val>
            <c:numRef>
              <c:f>'PivotTables and PivotCharts'!$B$18:$B$38</c:f>
              <c:numCache>
                <c:formatCode>General</c:formatCode>
                <c:ptCount val="20"/>
                <c:pt idx="0">
                  <c:v>66000</c:v>
                </c:pt>
                <c:pt idx="1">
                  <c:v>34700</c:v>
                </c:pt>
                <c:pt idx="2">
                  <c:v>52000</c:v>
                </c:pt>
                <c:pt idx="3">
                  <c:v>287000</c:v>
                </c:pt>
                <c:pt idx="4">
                  <c:v>128000</c:v>
                </c:pt>
                <c:pt idx="5">
                  <c:v>41500</c:v>
                </c:pt>
                <c:pt idx="6">
                  <c:v>158000</c:v>
                </c:pt>
                <c:pt idx="7">
                  <c:v>62000</c:v>
                </c:pt>
                <c:pt idx="8">
                  <c:v>91000</c:v>
                </c:pt>
                <c:pt idx="9">
                  <c:v>43800</c:v>
                </c:pt>
                <c:pt idx="10">
                  <c:v>152000</c:v>
                </c:pt>
                <c:pt idx="11">
                  <c:v>72000</c:v>
                </c:pt>
                <c:pt idx="12">
                  <c:v>85000</c:v>
                </c:pt>
                <c:pt idx="13">
                  <c:v>272000</c:v>
                </c:pt>
                <c:pt idx="14">
                  <c:v>26500</c:v>
                </c:pt>
                <c:pt idx="15">
                  <c:v>53000</c:v>
                </c:pt>
                <c:pt idx="16">
                  <c:v>287000</c:v>
                </c:pt>
                <c:pt idx="17">
                  <c:v>181000</c:v>
                </c:pt>
                <c:pt idx="18">
                  <c:v>124500</c:v>
                </c:pt>
                <c:pt idx="19">
                  <c:v>275000</c:v>
                </c:pt>
              </c:numCache>
            </c:numRef>
          </c:val>
          <c:extLst>
            <c:ext xmlns:c16="http://schemas.microsoft.com/office/drawing/2014/chart" uri="{C3380CC4-5D6E-409C-BE32-E72D297353CC}">
              <c16:uniqueId val="{00000000-6B56-4ECE-85AF-B1A857999316}"/>
            </c:ext>
          </c:extLst>
        </c:ser>
        <c:dLbls>
          <c:showLegendKey val="0"/>
          <c:showVal val="0"/>
          <c:showCatName val="0"/>
          <c:showSerName val="0"/>
          <c:showPercent val="0"/>
          <c:showBubbleSize val="0"/>
        </c:dLbls>
        <c:gapWidth val="219"/>
        <c:overlap val="-27"/>
        <c:axId val="1407801679"/>
        <c:axId val="1407793519"/>
      </c:barChart>
      <c:catAx>
        <c:axId val="140780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793519"/>
        <c:crosses val="autoZero"/>
        <c:auto val="1"/>
        <c:lblAlgn val="ctr"/>
        <c:lblOffset val="100"/>
        <c:noMultiLvlLbl val="0"/>
      </c:catAx>
      <c:valAx>
        <c:axId val="140779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80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[module-6-business-dashboard.xlsx]PivotTables and PivotCharts!PivotTable4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Sales by Product</a:t>
            </a:r>
          </a:p>
        </c:rich>
      </c:tx>
      <c:layout>
        <c:manualLayout>
          <c:xMode val="edge"/>
          <c:yMode val="edge"/>
          <c:x val="0.30465085669601039"/>
          <c:y val="7.8703768809740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'PivotTables and PivotCharts'!$F$17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 and PivotCharts'!$E$18:$E$24</c:f>
              <c:strCache>
                <c:ptCount val="6"/>
                <c:pt idx="0">
                  <c:v>Headset</c:v>
                </c:pt>
                <c:pt idx="1">
                  <c:v>Keyboard</c:v>
                </c:pt>
                <c:pt idx="2">
                  <c:v>Laptop</c:v>
                </c:pt>
                <c:pt idx="3">
                  <c:v>Monitor</c:v>
                </c:pt>
                <c:pt idx="4">
                  <c:v>Mouse</c:v>
                </c:pt>
                <c:pt idx="5">
                  <c:v>Printer</c:v>
                </c:pt>
              </c:strCache>
            </c:strRef>
          </c:cat>
          <c:val>
            <c:numRef>
              <c:f>'PivotTables and PivotCharts'!$F$18:$F$24</c:f>
              <c:numCache>
                <c:formatCode>General</c:formatCode>
                <c:ptCount val="6"/>
                <c:pt idx="0">
                  <c:v>190000</c:v>
                </c:pt>
                <c:pt idx="1">
                  <c:v>156500</c:v>
                </c:pt>
                <c:pt idx="2">
                  <c:v>1121000</c:v>
                </c:pt>
                <c:pt idx="3">
                  <c:v>548500</c:v>
                </c:pt>
                <c:pt idx="4">
                  <c:v>105000</c:v>
                </c:pt>
                <c:pt idx="5">
                  <c:v>371000</c:v>
                </c:pt>
              </c:numCache>
            </c:numRef>
          </c:val>
          <c:extLst>
            <c:ext xmlns:c16="http://schemas.microsoft.com/office/drawing/2014/chart" uri="{C3380CC4-5D6E-409C-BE32-E72D297353CC}">
              <c16:uniqueId val="{00000000-FA82-4186-A0EC-53B3593F1FD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[module-6-business-dashboard.xlsx]PivotTables and PivotCharts!PivotTable6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t>
            </a:r>
            <a:r>
              <a:rPr lang="en-US" sz="1400" b="0" i="0" u="none" strike="noStrike" baseline="0"/>
              <a:t>Sales Trend by Order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 and PivotCharts'!$F$29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PivotCharts'!$E$30:$E$34</c:f>
              <c:strCache>
                <c:ptCount val="4"/>
                <c:pt idx="0">
                  <c:v>Jan</c:v>
                </c:pt>
                <c:pt idx="1">
                  <c:v>Feb</c:v>
                </c:pt>
                <c:pt idx="2">
                  <c:v>Mar</c:v>
                </c:pt>
                <c:pt idx="3">
                  <c:v>Apr</c:v>
                </c:pt>
              </c:strCache>
            </c:strRef>
          </c:cat>
          <c:val>
            <c:numRef>
              <c:f>'PivotTables and PivotCharts'!$F$30:$F$34</c:f>
              <c:numCache>
                <c:formatCode>General</c:formatCode>
                <c:ptCount val="4"/>
                <c:pt idx="0">
                  <c:v>858000</c:v>
                </c:pt>
                <c:pt idx="1">
                  <c:v>554700</c:v>
                </c:pt>
                <c:pt idx="2">
                  <c:v>724800</c:v>
                </c:pt>
                <c:pt idx="3">
                  <c:v>354500</c:v>
                </c:pt>
              </c:numCache>
            </c:numRef>
          </c:val>
          <c:smooth val="0"/>
          <c:extLst>
            <c:ext xmlns:c16="http://schemas.microsoft.com/office/drawing/2014/chart" uri="{C3380CC4-5D6E-409C-BE32-E72D297353CC}">
              <c16:uniqueId val="{00000000-BB3A-4904-B830-E3FED082E08B}"/>
            </c:ext>
          </c:extLst>
        </c:ser>
        <c:dLbls>
          <c:showLegendKey val="0"/>
          <c:showVal val="0"/>
          <c:showCatName val="0"/>
          <c:showSerName val="0"/>
          <c:showPercent val="0"/>
          <c:showBubbleSize val="0"/>
        </c:dLbls>
        <c:smooth val="0"/>
        <c:axId val="1247059375"/>
        <c:axId val="1247065615"/>
      </c:lineChart>
      <c:catAx>
        <c:axId val="124705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065615"/>
        <c:crosses val="autoZero"/>
        <c:auto val="1"/>
        <c:lblAlgn val="ctr"/>
        <c:lblOffset val="100"/>
        <c:noMultiLvlLbl val="0"/>
      </c:catAx>
      <c:valAx>
        <c:axId val="124706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05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[module-6-business-dashboard.xlsx]PivotTables and PivotCharts!PivotTable2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layout>
        <c:manualLayout>
          <c:xMode val="edge"/>
          <c:yMode val="edge"/>
          <c:x val="0.4536111111111111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 and PivotCharts'!$B$3</c:f>
              <c:strCache>
                <c:ptCount val="1"/>
                <c:pt idx="0">
                  <c:v>Total</c:v>
                </c:pt>
              </c:strCache>
            </c:strRef>
          </c:tx>
          <c:spPr>
            <a:solidFill>
              <a:schemeClr val="accent1"/>
            </a:solidFill>
            <a:ln>
              <a:noFill/>
            </a:ln>
            <a:effectLst/>
          </c:spPr>
          <c:invertIfNegative val="0"/>
          <c:cat>
            <c:strRef>
              <c:f>'PivotTables and PivotCharts'!$A$4:$A$9</c:f>
              <c:strCache>
                <c:ptCount val="5"/>
                <c:pt idx="0">
                  <c:v>Chattogram</c:v>
                </c:pt>
                <c:pt idx="1">
                  <c:v>Dhaka</c:v>
                </c:pt>
                <c:pt idx="2">
                  <c:v>Khulna</c:v>
                </c:pt>
                <c:pt idx="3">
                  <c:v>Rajshahi</c:v>
                </c:pt>
                <c:pt idx="4">
                  <c:v>Sylhet</c:v>
                </c:pt>
              </c:strCache>
            </c:strRef>
          </c:cat>
          <c:val>
            <c:numRef>
              <c:f>'PivotTables and PivotCharts'!$B$4:$B$9</c:f>
              <c:numCache>
                <c:formatCode>General</c:formatCode>
                <c:ptCount val="5"/>
                <c:pt idx="0">
                  <c:v>504000</c:v>
                </c:pt>
                <c:pt idx="1">
                  <c:v>862000</c:v>
                </c:pt>
                <c:pt idx="2">
                  <c:v>559000</c:v>
                </c:pt>
                <c:pt idx="3">
                  <c:v>353500</c:v>
                </c:pt>
                <c:pt idx="4">
                  <c:v>213500</c:v>
                </c:pt>
              </c:numCache>
            </c:numRef>
          </c:val>
          <c:extLst>
            <c:ext xmlns:c16="http://schemas.microsoft.com/office/drawing/2014/chart" uri="{C3380CC4-5D6E-409C-BE32-E72D297353CC}">
              <c16:uniqueId val="{00000000-AFED-4ADB-9B38-0FC515B895EF}"/>
            </c:ext>
          </c:extLst>
        </c:ser>
        <c:dLbls>
          <c:showLegendKey val="0"/>
          <c:showVal val="0"/>
          <c:showCatName val="0"/>
          <c:showSerName val="0"/>
          <c:showPercent val="0"/>
          <c:showBubbleSize val="0"/>
        </c:dLbls>
        <c:gapWidth val="219"/>
        <c:overlap val="-27"/>
        <c:axId val="1247082415"/>
        <c:axId val="1247083855"/>
      </c:barChart>
      <c:catAx>
        <c:axId val="124708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083855"/>
        <c:crosses val="autoZero"/>
        <c:auto val="1"/>
        <c:lblAlgn val="ctr"/>
        <c:lblOffset val="100"/>
        <c:noMultiLvlLbl val="0"/>
      </c:catAx>
      <c:valAx>
        <c:axId val="124708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08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[module-6-business-dashboard.xlsx]PivotTables and PivotCharts!PivotTable5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 and PivotCharts'!$B$17</c:f>
              <c:strCache>
                <c:ptCount val="1"/>
                <c:pt idx="0">
                  <c:v>Total</c:v>
                </c:pt>
              </c:strCache>
            </c:strRef>
          </c:tx>
          <c:spPr>
            <a:solidFill>
              <a:schemeClr val="accent1"/>
            </a:solidFill>
            <a:ln>
              <a:noFill/>
            </a:ln>
            <a:effectLst/>
          </c:spPr>
          <c:invertIfNegative val="0"/>
          <c:cat>
            <c:strRef>
              <c:f>'PivotTables and PivotCharts'!$A$18:$A$38</c:f>
              <c:strCache>
                <c:ptCount val="20"/>
                <c:pt idx="0">
                  <c:v>Arif Chowdhury</c:v>
                </c:pt>
                <c:pt idx="1">
                  <c:v>Ayesha Rahman</c:v>
                </c:pt>
                <c:pt idx="2">
                  <c:v>Fahim Rahman</c:v>
                </c:pt>
                <c:pt idx="3">
                  <c:v>Imran Hossain</c:v>
                </c:pt>
                <c:pt idx="4">
                  <c:v>Jannatul Ferdous</c:v>
                </c:pt>
                <c:pt idx="5">
                  <c:v>Karim Hasan</c:v>
                </c:pt>
                <c:pt idx="6">
                  <c:v>Mahin Kabir</c:v>
                </c:pt>
                <c:pt idx="7">
                  <c:v>Mahiya Sultana</c:v>
                </c:pt>
                <c:pt idx="8">
                  <c:v>Mim Akter</c:v>
                </c:pt>
                <c:pt idx="9">
                  <c:v>Nayeem Hasan</c:v>
                </c:pt>
                <c:pt idx="10">
                  <c:v>Nusrat Jahan</c:v>
                </c:pt>
                <c:pt idx="11">
                  <c:v>Puja Roy</c:v>
                </c:pt>
                <c:pt idx="12">
                  <c:v>Rafiul Islam</c:v>
                </c:pt>
                <c:pt idx="13">
                  <c:v>Rahim Ahmed</c:v>
                </c:pt>
                <c:pt idx="14">
                  <c:v>Sadia Islam</c:v>
                </c:pt>
                <c:pt idx="15">
                  <c:v>Sakib Khan</c:v>
                </c:pt>
                <c:pt idx="16">
                  <c:v>Shuvo Das</c:v>
                </c:pt>
                <c:pt idx="17">
                  <c:v>Sumaiya Akter</c:v>
                </c:pt>
                <c:pt idx="18">
                  <c:v>Tania Akter</c:v>
                </c:pt>
                <c:pt idx="19">
                  <c:v>Tanvir Hossain</c:v>
                </c:pt>
              </c:strCache>
            </c:strRef>
          </c:cat>
          <c:val>
            <c:numRef>
              <c:f>'PivotTables and PivotCharts'!$B$18:$B$38</c:f>
              <c:numCache>
                <c:formatCode>General</c:formatCode>
                <c:ptCount val="20"/>
                <c:pt idx="0">
                  <c:v>66000</c:v>
                </c:pt>
                <c:pt idx="1">
                  <c:v>34700</c:v>
                </c:pt>
                <c:pt idx="2">
                  <c:v>52000</c:v>
                </c:pt>
                <c:pt idx="3">
                  <c:v>287000</c:v>
                </c:pt>
                <c:pt idx="4">
                  <c:v>128000</c:v>
                </c:pt>
                <c:pt idx="5">
                  <c:v>41500</c:v>
                </c:pt>
                <c:pt idx="6">
                  <c:v>158000</c:v>
                </c:pt>
                <c:pt idx="7">
                  <c:v>62000</c:v>
                </c:pt>
                <c:pt idx="8">
                  <c:v>91000</c:v>
                </c:pt>
                <c:pt idx="9">
                  <c:v>43800</c:v>
                </c:pt>
                <c:pt idx="10">
                  <c:v>152000</c:v>
                </c:pt>
                <c:pt idx="11">
                  <c:v>72000</c:v>
                </c:pt>
                <c:pt idx="12">
                  <c:v>85000</c:v>
                </c:pt>
                <c:pt idx="13">
                  <c:v>272000</c:v>
                </c:pt>
                <c:pt idx="14">
                  <c:v>26500</c:v>
                </c:pt>
                <c:pt idx="15">
                  <c:v>53000</c:v>
                </c:pt>
                <c:pt idx="16">
                  <c:v>287000</c:v>
                </c:pt>
                <c:pt idx="17">
                  <c:v>181000</c:v>
                </c:pt>
                <c:pt idx="18">
                  <c:v>124500</c:v>
                </c:pt>
                <c:pt idx="19">
                  <c:v>275000</c:v>
                </c:pt>
              </c:numCache>
            </c:numRef>
          </c:val>
          <c:extLst>
            <c:ext xmlns:c16="http://schemas.microsoft.com/office/drawing/2014/chart" uri="{C3380CC4-5D6E-409C-BE32-E72D297353CC}">
              <c16:uniqueId val="{00000000-39A2-41C4-BDCD-56A334070090}"/>
            </c:ext>
          </c:extLst>
        </c:ser>
        <c:dLbls>
          <c:showLegendKey val="0"/>
          <c:showVal val="0"/>
          <c:showCatName val="0"/>
          <c:showSerName val="0"/>
          <c:showPercent val="0"/>
          <c:showBubbleSize val="0"/>
        </c:dLbls>
        <c:gapWidth val="219"/>
        <c:overlap val="-27"/>
        <c:axId val="1407801679"/>
        <c:axId val="1407793519"/>
      </c:barChart>
      <c:catAx>
        <c:axId val="140780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793519"/>
        <c:crosses val="autoZero"/>
        <c:auto val="1"/>
        <c:lblAlgn val="ctr"/>
        <c:lblOffset val="100"/>
        <c:noMultiLvlLbl val="0"/>
      </c:catAx>
      <c:valAx>
        <c:axId val="140779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80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[module-6-business-dashboard.xlsx]PivotTables and PivotCharts!PivotTable4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Sales by Product</a:t>
            </a:r>
          </a:p>
        </c:rich>
      </c:tx>
      <c:layout>
        <c:manualLayout>
          <c:xMode val="edge"/>
          <c:yMode val="edge"/>
          <c:x val="0.30465085669601039"/>
          <c:y val="7.8703768809740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'PivotTables and PivotCharts'!$F$17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8C-407D-9EEC-D2B4D11A05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8C-407D-9EEC-D2B4D11A05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8C-407D-9EEC-D2B4D11A05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8C-407D-9EEC-D2B4D11A05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C8C-407D-9EEC-D2B4D11A05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C8C-407D-9EEC-D2B4D11A05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 and PivotCharts'!$E$18:$E$24</c:f>
              <c:strCache>
                <c:ptCount val="6"/>
                <c:pt idx="0">
                  <c:v>Headset</c:v>
                </c:pt>
                <c:pt idx="1">
                  <c:v>Keyboard</c:v>
                </c:pt>
                <c:pt idx="2">
                  <c:v>Laptop</c:v>
                </c:pt>
                <c:pt idx="3">
                  <c:v>Monitor</c:v>
                </c:pt>
                <c:pt idx="4">
                  <c:v>Mouse</c:v>
                </c:pt>
                <c:pt idx="5">
                  <c:v>Printer</c:v>
                </c:pt>
              </c:strCache>
            </c:strRef>
          </c:cat>
          <c:val>
            <c:numRef>
              <c:f>'PivotTables and PivotCharts'!$F$18:$F$24</c:f>
              <c:numCache>
                <c:formatCode>General</c:formatCode>
                <c:ptCount val="6"/>
                <c:pt idx="0">
                  <c:v>190000</c:v>
                </c:pt>
                <c:pt idx="1">
                  <c:v>156500</c:v>
                </c:pt>
                <c:pt idx="2">
                  <c:v>1121000</c:v>
                </c:pt>
                <c:pt idx="3">
                  <c:v>548500</c:v>
                </c:pt>
                <c:pt idx="4">
                  <c:v>105000</c:v>
                </c:pt>
                <c:pt idx="5">
                  <c:v>371000</c:v>
                </c:pt>
              </c:numCache>
            </c:numRef>
          </c:val>
          <c:extLst>
            <c:ext xmlns:c16="http://schemas.microsoft.com/office/drawing/2014/chart" uri="{C3380CC4-5D6E-409C-BE32-E72D297353CC}">
              <c16:uniqueId val="{0000000C-3C8C-407D-9EEC-D2B4D11A05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1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3.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300037</xdr:colOff>
      <xdr:row>28</xdr:row>
      <xdr:rowOff>0</xdr:rowOff>
    </xdr:from>
    <xdr:to>
      <xdr:col>13</xdr:col>
      <xdr:colOff>76200</xdr:colOff>
      <xdr:row>42</xdr:row>
      <xdr:rowOff>95250</xdr:rowOff>
    </xdr:to>
    <xdr:graphicFrame macro="">
      <xdr:nvGraphicFramePr>
        <xdr:cNvPr id="2" name="Chart 1">
          <a:extLst>
            <a:ext uri="{FF2B5EF4-FFF2-40B4-BE49-F238E27FC236}">
              <a16:creationId xmlns:a16="http://schemas.microsoft.com/office/drawing/2014/main" id="{EE503F4A-0EA2-5008-3683-331A6BE53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295281</xdr:colOff>
      <xdr:row>0</xdr:row>
      <xdr:rowOff>95250</xdr:rowOff>
    </xdr:from>
    <xdr:to>
      <xdr:col>6</xdr:col>
      <xdr:colOff>990600</xdr:colOff>
      <xdr:row>14</xdr:row>
      <xdr:rowOff>95250</xdr:rowOff>
    </xdr:to>
    <xdr:graphicFrame macro="">
      <xdr:nvGraphicFramePr>
        <xdr:cNvPr id="3" name="Chart 2">
          <a:extLst>
            <a:ext uri="{FF2B5EF4-FFF2-40B4-BE49-F238E27FC236}">
              <a16:creationId xmlns:a16="http://schemas.microsoft.com/office/drawing/2014/main" id="{6608DE23-7D64-67E9-CD2D-E0FC0C986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161931</xdr:colOff>
      <xdr:row>15</xdr:row>
      <xdr:rowOff>28575</xdr:rowOff>
    </xdr:from>
    <xdr:to>
      <xdr:col>12</xdr:col>
      <xdr:colOff>161925</xdr:colOff>
      <xdr:row>26</xdr:row>
      <xdr:rowOff>152400</xdr:rowOff>
    </xdr:to>
    <xdr:graphicFrame macro="">
      <xdr:nvGraphicFramePr>
        <xdr:cNvPr id="4" name="Chart 3">
          <a:extLst>
            <a:ext uri="{FF2B5EF4-FFF2-40B4-BE49-F238E27FC236}">
              <a16:creationId xmlns:a16="http://schemas.microsoft.com/office/drawing/2014/main" id="{538205C9-D8D1-872A-942A-FF90BE4A2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xdr:colOff>
      <xdr:row>39</xdr:row>
      <xdr:rowOff>47625</xdr:rowOff>
    </xdr:from>
    <xdr:to>
      <xdr:col>5</xdr:col>
      <xdr:colOff>514356</xdr:colOff>
      <xdr:row>53</xdr:row>
      <xdr:rowOff>123825</xdr:rowOff>
    </xdr:to>
    <xdr:graphicFrame macro="">
      <xdr:nvGraphicFramePr>
        <xdr:cNvPr id="5" name="Chart 4">
          <a:extLst>
            <a:ext uri="{FF2B5EF4-FFF2-40B4-BE49-F238E27FC236}">
              <a16:creationId xmlns:a16="http://schemas.microsoft.com/office/drawing/2014/main" id="{20B2DF75-6018-024B-988F-4DF191E56B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466725</xdr:colOff>
      <xdr:row>22</xdr:row>
      <xdr:rowOff>9525</xdr:rowOff>
    </xdr:from>
    <xdr:to>
      <xdr:col>17</xdr:col>
      <xdr:colOff>466722</xdr:colOff>
      <xdr:row>35</xdr:row>
      <xdr:rowOff>57150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EDE40AA-8679-BA5E-54D7-B50350CFAB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01425" y="4200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209550</xdr:colOff>
      <xdr:row>22</xdr:row>
      <xdr:rowOff>9525</xdr:rowOff>
    </xdr:from>
    <xdr:to>
      <xdr:col>21</xdr:col>
      <xdr:colOff>209550</xdr:colOff>
      <xdr:row>35</xdr:row>
      <xdr:rowOff>57150</xdr:rowOff>
    </xdr:to>
    <mc:AlternateContent xmlns:mc="http://schemas.openxmlformats.org/markup-compatibility/2006" xmlns:a14="http://schemas.microsoft.com/office/drawing/2010/main">
      <mc:Choice Requires="a14">
        <xdr:graphicFrame macro="">
          <xdr:nvGraphicFramePr>
            <xdr:cNvPr id="8" name="Customer">
              <a:extLst>
                <a:ext uri="{FF2B5EF4-FFF2-40B4-BE49-F238E27FC236}">
                  <a16:creationId xmlns:a16="http://schemas.microsoft.com/office/drawing/2014/main" id="{BC11B20D-20B1-E597-39CF-4C82FDADA248}"/>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13582650" y="4200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466725</xdr:colOff>
      <xdr:row>36</xdr:row>
      <xdr:rowOff>85725</xdr:rowOff>
    </xdr:from>
    <xdr:to>
      <xdr:col>17</xdr:col>
      <xdr:colOff>466722</xdr:colOff>
      <xdr:row>49</xdr:row>
      <xdr:rowOff>133350</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24154EEF-5B03-EE05-D5C2-4F9C6528EE0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401425" y="6943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257175</xdr:colOff>
      <xdr:row>36</xdr:row>
      <xdr:rowOff>76200</xdr:rowOff>
    </xdr:from>
    <xdr:to>
      <xdr:col>23</xdr:col>
      <xdr:colOff>542926</xdr:colOff>
      <xdr:row>43</xdr:row>
      <xdr:rowOff>114300</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D5EB79E9-FA25-FA50-7BC0-0AFE6D5CC03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630275" y="69342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12</xdr:col>
      <xdr:colOff>123825</xdr:colOff>
      <xdr:row>4</xdr:row>
      <xdr:rowOff>119062</xdr:rowOff>
    </xdr:from>
    <xdr:to>
      <xdr:col>17</xdr:col>
      <xdr:colOff>304800</xdr:colOff>
      <xdr:row>15</xdr:row>
      <xdr:rowOff>85725</xdr:rowOff>
    </xdr:to>
    <xdr:graphicFrame macro="">
      <xdr:nvGraphicFramePr>
        <xdr:cNvPr id="6" name="Chart 5">
          <a:extLst>
            <a:ext uri="{FF2B5EF4-FFF2-40B4-BE49-F238E27FC236}">
              <a16:creationId xmlns:a16="http://schemas.microsoft.com/office/drawing/2014/main" id="{84E93CFD-A149-D96E-3C59-01CA2787F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590549</xdr:colOff>
      <xdr:row>3</xdr:row>
      <xdr:rowOff>114300</xdr:rowOff>
    </xdr:from>
    <xdr:to>
      <xdr:col>9</xdr:col>
      <xdr:colOff>695324</xdr:colOff>
      <xdr:row>9</xdr:row>
      <xdr:rowOff>133350</xdr:rowOff>
    </xdr:to>
    <xdr:sp macro="" textlink="">
      <xdr:nvSpPr>
        <xdr:cNvPr id="2" name="Rectangle: Rounded Corners 1">
          <a:extLst>
            <a:ext uri="{FF2B5EF4-FFF2-40B4-BE49-F238E27FC236}">
              <a16:creationId xmlns:a16="http://schemas.microsoft.com/office/drawing/2014/main" id="{345A0BC3-3B5E-257E-E91D-CEE2700142AF}"/>
            </a:ext>
          </a:extLst>
        </xdr:cNvPr>
        <xdr:cNvSpPr/>
      </xdr:nvSpPr>
      <xdr:spPr>
        <a:xfrm>
          <a:off x="6238874" y="685800"/>
          <a:ext cx="2276475" cy="1162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lt1"/>
              </a:solidFill>
              <a:effectLst/>
              <a:latin typeface="+mn-lt"/>
              <a:ea typeface="+mn-ea"/>
              <a:cs typeface="+mn-cs"/>
            </a:rPr>
            <a:t>Total Sales</a:t>
          </a:r>
          <a:r>
            <a:rPr lang="en-US" sz="1800">
              <a:effectLst/>
            </a:rPr>
            <a:t> </a:t>
          </a:r>
        </a:p>
        <a:p>
          <a:pPr algn="ctr"/>
          <a:r>
            <a:rPr lang="en-US" sz="1800" b="0" i="0" u="none" strike="noStrike">
              <a:solidFill>
                <a:schemeClr val="lt1"/>
              </a:solidFill>
              <a:effectLst/>
              <a:latin typeface="+mn-lt"/>
              <a:ea typeface="+mn-ea"/>
              <a:cs typeface="+mn-cs"/>
            </a:rPr>
            <a:t>2492000</a:t>
          </a:r>
          <a:r>
            <a:rPr lang="en-US" sz="1800">
              <a:effectLst/>
            </a:rPr>
            <a:t> </a:t>
          </a:r>
          <a:endParaRPr lang="en-US" sz="1800"/>
        </a:p>
      </xdr:txBody>
    </xdr:sp>
    <xdr:clientData/>
  </xdr:twoCellAnchor>
  <xdr:twoCellAnchor>
    <xdr:from>
      <xdr:col>10</xdr:col>
      <xdr:colOff>523874</xdr:colOff>
      <xdr:row>3</xdr:row>
      <xdr:rowOff>85725</xdr:rowOff>
    </xdr:from>
    <xdr:to>
      <xdr:col>12</xdr:col>
      <xdr:colOff>628649</xdr:colOff>
      <xdr:row>9</xdr:row>
      <xdr:rowOff>104775</xdr:rowOff>
    </xdr:to>
    <xdr:sp macro="" textlink="">
      <xdr:nvSpPr>
        <xdr:cNvPr id="4" name="Rectangle: Rounded Corners 3">
          <a:extLst>
            <a:ext uri="{FF2B5EF4-FFF2-40B4-BE49-F238E27FC236}">
              <a16:creationId xmlns:a16="http://schemas.microsoft.com/office/drawing/2014/main" id="{B9AEF75B-1E1E-3D3F-94B8-6B25B624D33E}"/>
            </a:ext>
          </a:extLst>
        </xdr:cNvPr>
        <xdr:cNvSpPr/>
      </xdr:nvSpPr>
      <xdr:spPr>
        <a:xfrm>
          <a:off x="9429749" y="657225"/>
          <a:ext cx="2276475" cy="1162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lt1"/>
              </a:solidFill>
              <a:effectLst/>
              <a:latin typeface="+mn-lt"/>
              <a:ea typeface="+mn-ea"/>
              <a:cs typeface="+mn-cs"/>
            </a:rPr>
            <a:t>Total Quantity</a:t>
          </a:r>
        </a:p>
        <a:p>
          <a:pPr algn="ctr"/>
          <a:r>
            <a:rPr lang="en-US" sz="1800">
              <a:effectLst/>
            </a:rPr>
            <a:t> </a:t>
          </a:r>
          <a:r>
            <a:rPr lang="en-US" sz="1800" b="0" i="0" u="none" strike="noStrike">
              <a:solidFill>
                <a:schemeClr val="lt1"/>
              </a:solidFill>
              <a:effectLst/>
              <a:latin typeface="+mn-lt"/>
              <a:ea typeface="+mn-ea"/>
              <a:cs typeface="+mn-cs"/>
            </a:rPr>
            <a:t>160</a:t>
          </a:r>
          <a:r>
            <a:rPr lang="en-US" sz="1800">
              <a:effectLst/>
            </a:rPr>
            <a:t> </a:t>
          </a:r>
          <a:endParaRPr lang="en-US" sz="1800"/>
        </a:p>
      </xdr:txBody>
    </xdr:sp>
    <xdr:clientData/>
  </xdr:twoCellAnchor>
  <xdr:twoCellAnchor>
    <xdr:from>
      <xdr:col>7</xdr:col>
      <xdr:colOff>581024</xdr:colOff>
      <xdr:row>11</xdr:row>
      <xdr:rowOff>95250</xdr:rowOff>
    </xdr:from>
    <xdr:to>
      <xdr:col>9</xdr:col>
      <xdr:colOff>685799</xdr:colOff>
      <xdr:row>17</xdr:row>
      <xdr:rowOff>114300</xdr:rowOff>
    </xdr:to>
    <xdr:sp macro="" textlink="">
      <xdr:nvSpPr>
        <xdr:cNvPr id="7" name="Rectangle: Rounded Corners 6">
          <a:extLst>
            <a:ext uri="{FF2B5EF4-FFF2-40B4-BE49-F238E27FC236}">
              <a16:creationId xmlns:a16="http://schemas.microsoft.com/office/drawing/2014/main" id="{6B92F351-FECD-887D-9108-9D6C2E38EECB}"/>
            </a:ext>
          </a:extLst>
        </xdr:cNvPr>
        <xdr:cNvSpPr/>
      </xdr:nvSpPr>
      <xdr:spPr>
        <a:xfrm>
          <a:off x="6229349" y="2190750"/>
          <a:ext cx="2276475" cy="1162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lt1"/>
              </a:solidFill>
              <a:effectLst/>
              <a:latin typeface="+mn-lt"/>
              <a:ea typeface="+mn-ea"/>
              <a:cs typeface="+mn-cs"/>
            </a:rPr>
            <a:t>Average Sales per Order</a:t>
          </a:r>
        </a:p>
        <a:p>
          <a:pPr algn="ctr"/>
          <a:r>
            <a:rPr lang="en-US" sz="1400">
              <a:effectLst/>
            </a:rPr>
            <a:t> </a:t>
          </a:r>
          <a:r>
            <a:rPr lang="en-US" sz="1400" b="0" i="0" u="none" strike="noStrike">
              <a:solidFill>
                <a:schemeClr val="lt1"/>
              </a:solidFill>
              <a:effectLst/>
              <a:latin typeface="+mn-lt"/>
              <a:ea typeface="+mn-ea"/>
              <a:cs typeface="+mn-cs"/>
            </a:rPr>
            <a:t>62300</a:t>
          </a:r>
          <a:r>
            <a:rPr lang="en-US" sz="1400">
              <a:effectLst/>
            </a:rPr>
            <a:t> </a:t>
          </a:r>
          <a:endParaRPr lang="en-US" sz="1400"/>
        </a:p>
      </xdr:txBody>
    </xdr:sp>
    <xdr:clientData/>
  </xdr:twoCellAnchor>
  <xdr:twoCellAnchor>
    <xdr:from>
      <xdr:col>7</xdr:col>
      <xdr:colOff>571499</xdr:colOff>
      <xdr:row>20</xdr:row>
      <xdr:rowOff>9525</xdr:rowOff>
    </xdr:from>
    <xdr:to>
      <xdr:col>9</xdr:col>
      <xdr:colOff>676274</xdr:colOff>
      <xdr:row>26</xdr:row>
      <xdr:rowOff>28575</xdr:rowOff>
    </xdr:to>
    <xdr:sp macro="" textlink="">
      <xdr:nvSpPr>
        <xdr:cNvPr id="8" name="Rectangle: Rounded Corners 7">
          <a:extLst>
            <a:ext uri="{FF2B5EF4-FFF2-40B4-BE49-F238E27FC236}">
              <a16:creationId xmlns:a16="http://schemas.microsoft.com/office/drawing/2014/main" id="{1EE53063-C3AD-79DD-9489-0B690EB2F21B}"/>
            </a:ext>
          </a:extLst>
        </xdr:cNvPr>
        <xdr:cNvSpPr/>
      </xdr:nvSpPr>
      <xdr:spPr>
        <a:xfrm>
          <a:off x="6219824" y="3819525"/>
          <a:ext cx="2276475" cy="1162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lt1"/>
              </a:solidFill>
              <a:effectLst/>
              <a:latin typeface="+mn-lt"/>
              <a:ea typeface="+mn-ea"/>
              <a:cs typeface="+mn-cs"/>
            </a:rPr>
            <a:t> </a:t>
          </a:r>
          <a:r>
            <a:rPr lang="en-US" sz="2400" b="1" i="0" u="none" strike="noStrike">
              <a:solidFill>
                <a:schemeClr val="lt1"/>
              </a:solidFill>
              <a:effectLst/>
              <a:latin typeface="+mn-lt"/>
              <a:ea typeface="+mn-ea"/>
              <a:cs typeface="+mn-cs"/>
            </a:rPr>
            <a:t>Cost</a:t>
          </a:r>
        </a:p>
        <a:p>
          <a:pPr algn="ctr"/>
          <a:r>
            <a:rPr lang="en-US" sz="1800">
              <a:effectLst/>
            </a:rPr>
            <a:t> </a:t>
          </a:r>
          <a:r>
            <a:rPr lang="en-US" sz="1800" b="0" i="0" u="none" strike="noStrike">
              <a:solidFill>
                <a:schemeClr val="lt1"/>
              </a:solidFill>
              <a:effectLst/>
              <a:latin typeface="+mn-lt"/>
              <a:ea typeface="+mn-ea"/>
              <a:cs typeface="+mn-cs"/>
            </a:rPr>
            <a:t>1869000</a:t>
          </a:r>
          <a:r>
            <a:rPr lang="en-US" sz="1800">
              <a:effectLst/>
            </a:rPr>
            <a:t> </a:t>
          </a:r>
          <a:endParaRPr lang="en-US" sz="1800"/>
        </a:p>
      </xdr:txBody>
    </xdr:sp>
    <xdr:clientData/>
  </xdr:twoCellAnchor>
  <xdr:twoCellAnchor>
    <xdr:from>
      <xdr:col>10</xdr:col>
      <xdr:colOff>609599</xdr:colOff>
      <xdr:row>11</xdr:row>
      <xdr:rowOff>161925</xdr:rowOff>
    </xdr:from>
    <xdr:to>
      <xdr:col>12</xdr:col>
      <xdr:colOff>714374</xdr:colOff>
      <xdr:row>17</xdr:row>
      <xdr:rowOff>180975</xdr:rowOff>
    </xdr:to>
    <xdr:sp macro="" textlink="">
      <xdr:nvSpPr>
        <xdr:cNvPr id="9" name="Rectangle: Rounded Corners 8">
          <a:extLst>
            <a:ext uri="{FF2B5EF4-FFF2-40B4-BE49-F238E27FC236}">
              <a16:creationId xmlns:a16="http://schemas.microsoft.com/office/drawing/2014/main" id="{B9588B47-AE48-C636-9E8E-5984FAF9E56E}"/>
            </a:ext>
          </a:extLst>
        </xdr:cNvPr>
        <xdr:cNvSpPr/>
      </xdr:nvSpPr>
      <xdr:spPr>
        <a:xfrm>
          <a:off x="9515474" y="2257425"/>
          <a:ext cx="2276475" cy="1162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lt1"/>
              </a:solidFill>
              <a:effectLst/>
              <a:latin typeface="+mn-lt"/>
              <a:ea typeface="+mn-ea"/>
              <a:cs typeface="+mn-cs"/>
            </a:rPr>
            <a:t> </a:t>
          </a:r>
          <a:r>
            <a:rPr lang="en-US" sz="2400" b="1" i="0" u="none" strike="noStrike">
              <a:solidFill>
                <a:schemeClr val="lt1"/>
              </a:solidFill>
              <a:effectLst/>
              <a:latin typeface="+mn-lt"/>
              <a:ea typeface="+mn-ea"/>
              <a:cs typeface="+mn-cs"/>
            </a:rPr>
            <a:t>Total Profit</a:t>
          </a:r>
        </a:p>
        <a:p>
          <a:pPr algn="ctr"/>
          <a:r>
            <a:rPr lang="en-US" sz="1800">
              <a:effectLst/>
            </a:rPr>
            <a:t> </a:t>
          </a:r>
          <a:r>
            <a:rPr lang="en-US" sz="1800" b="0" i="0" u="none" strike="noStrike">
              <a:solidFill>
                <a:schemeClr val="lt1"/>
              </a:solidFill>
              <a:effectLst/>
              <a:latin typeface="+mn-lt"/>
              <a:ea typeface="+mn-ea"/>
              <a:cs typeface="+mn-cs"/>
            </a:rPr>
            <a:t>623000</a:t>
          </a:r>
          <a:r>
            <a:rPr lang="en-US" sz="1800">
              <a:effectLst/>
            </a:rPr>
            <a:t> </a:t>
          </a:r>
          <a:endParaRPr lang="en-US" sz="1800"/>
        </a:p>
      </xdr:txBody>
    </xdr:sp>
    <xdr:clientData/>
  </xdr:twoCellAnchor>
  <xdr:twoCellAnchor>
    <xdr:from>
      <xdr:col>10</xdr:col>
      <xdr:colOff>657224</xdr:colOff>
      <xdr:row>19</xdr:row>
      <xdr:rowOff>180975</xdr:rowOff>
    </xdr:from>
    <xdr:to>
      <xdr:col>12</xdr:col>
      <xdr:colOff>761999</xdr:colOff>
      <xdr:row>26</xdr:row>
      <xdr:rowOff>9525</xdr:rowOff>
    </xdr:to>
    <xdr:sp macro="" textlink="">
      <xdr:nvSpPr>
        <xdr:cNvPr id="10" name="Rectangle: Rounded Corners 9">
          <a:extLst>
            <a:ext uri="{FF2B5EF4-FFF2-40B4-BE49-F238E27FC236}">
              <a16:creationId xmlns:a16="http://schemas.microsoft.com/office/drawing/2014/main" id="{12400DE5-E062-FDA3-B243-4EB8D3F72913}"/>
            </a:ext>
          </a:extLst>
        </xdr:cNvPr>
        <xdr:cNvSpPr/>
      </xdr:nvSpPr>
      <xdr:spPr>
        <a:xfrm>
          <a:off x="9563099" y="3800475"/>
          <a:ext cx="2276475" cy="1162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lt1"/>
              </a:solidFill>
              <a:effectLst/>
              <a:latin typeface="+mn-lt"/>
              <a:ea typeface="+mn-ea"/>
              <a:cs typeface="+mn-cs"/>
            </a:rPr>
            <a:t>Profit Percentage</a:t>
          </a:r>
          <a:endParaRPr lang="en-US" sz="2000">
            <a:effectLst/>
          </a:endParaRPr>
        </a:p>
        <a:p>
          <a:pPr algn="ctr"/>
          <a:r>
            <a:rPr lang="en-US" sz="1800" b="0" i="0" u="none" strike="noStrike">
              <a:solidFill>
                <a:schemeClr val="lt1"/>
              </a:solidFill>
              <a:effectLst/>
              <a:latin typeface="+mn-lt"/>
              <a:ea typeface="+mn-ea"/>
              <a:cs typeface="+mn-cs"/>
            </a:rPr>
            <a:t>25.00%</a:t>
          </a:r>
          <a:r>
            <a:rPr lang="en-US" sz="1800">
              <a:effectLst/>
            </a:rPr>
            <a:t> </a:t>
          </a:r>
          <a:endParaRPr lang="en-US" sz="18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14968</xdr:colOff>
      <xdr:row>10</xdr:row>
      <xdr:rowOff>13607</xdr:rowOff>
    </xdr:from>
    <xdr:to>
      <xdr:col>28</xdr:col>
      <xdr:colOff>586468</xdr:colOff>
      <xdr:row>15</xdr:row>
      <xdr:rowOff>4082</xdr:rowOff>
    </xdr:to>
    <xdr:sp macro="" textlink="">
      <xdr:nvSpPr>
        <xdr:cNvPr id="2" name="Rectangle: Rounded Corners 1">
          <a:extLst>
            <a:ext uri="{FF2B5EF4-FFF2-40B4-BE49-F238E27FC236}">
              <a16:creationId xmlns:a16="http://schemas.microsoft.com/office/drawing/2014/main" id="{346683D7-5DF7-C836-6FE1-7D56EC6D1F56}"/>
            </a:ext>
          </a:extLst>
        </xdr:cNvPr>
        <xdr:cNvSpPr/>
      </xdr:nvSpPr>
      <xdr:spPr>
        <a:xfrm>
          <a:off x="3688897" y="1850571"/>
          <a:ext cx="14042571" cy="94297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a:p>
      </xdr:txBody>
    </xdr:sp>
    <xdr:clientData/>
  </xdr:twoCellAnchor>
  <xdr:twoCellAnchor>
    <xdr:from>
      <xdr:col>7</xdr:col>
      <xdr:colOff>561976</xdr:colOff>
      <xdr:row>10</xdr:row>
      <xdr:rowOff>76200</xdr:rowOff>
    </xdr:from>
    <xdr:to>
      <xdr:col>18</xdr:col>
      <xdr:colOff>257175</xdr:colOff>
      <xdr:row>14</xdr:row>
      <xdr:rowOff>152400</xdr:rowOff>
    </xdr:to>
    <xdr:sp macro="" textlink="">
      <xdr:nvSpPr>
        <xdr:cNvPr id="5" name="TextBox 4">
          <a:extLst>
            <a:ext uri="{FF2B5EF4-FFF2-40B4-BE49-F238E27FC236}">
              <a16:creationId xmlns:a16="http://schemas.microsoft.com/office/drawing/2014/main" id="{9D22A214-B34F-48AE-6D3A-D4580A5E855C}"/>
            </a:ext>
          </a:extLst>
        </xdr:cNvPr>
        <xdr:cNvSpPr txBox="1"/>
      </xdr:nvSpPr>
      <xdr:spPr>
        <a:xfrm>
          <a:off x="1171576" y="647700"/>
          <a:ext cx="6400799" cy="8382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200" b="1">
              <a:solidFill>
                <a:schemeClr val="bg1"/>
              </a:solidFill>
              <a:latin typeface="+mj-lt"/>
            </a:rPr>
            <a:t>BUSINESS SALES DASHBOARD</a:t>
          </a:r>
        </a:p>
      </xdr:txBody>
    </xdr:sp>
    <xdr:clientData/>
  </xdr:twoCellAnchor>
  <xdr:twoCellAnchor editAs="oneCell">
    <xdr:from>
      <xdr:col>6</xdr:col>
      <xdr:colOff>123825</xdr:colOff>
      <xdr:row>10</xdr:row>
      <xdr:rowOff>9525</xdr:rowOff>
    </xdr:from>
    <xdr:to>
      <xdr:col>7</xdr:col>
      <xdr:colOff>428626</xdr:colOff>
      <xdr:row>14</xdr:row>
      <xdr:rowOff>160564</xdr:rowOff>
    </xdr:to>
    <xdr:pic>
      <xdr:nvPicPr>
        <xdr:cNvPr id="8" name="Graphic 7" descr="Bar graph with upward trend">
          <a:extLst>
            <a:ext uri="{FF2B5EF4-FFF2-40B4-BE49-F238E27FC236}">
              <a16:creationId xmlns:a16="http://schemas.microsoft.com/office/drawing/2014/main" id="{CBBF8C08-85CA-470C-D61D-305E0B5B60D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3825" y="581025"/>
          <a:ext cx="914400" cy="914400"/>
        </a:xfrm>
        <a:prstGeom prst="rect">
          <a:avLst/>
        </a:prstGeom>
      </xdr:spPr>
    </xdr:pic>
    <xdr:clientData/>
  </xdr:twoCellAnchor>
  <xdr:twoCellAnchor>
    <xdr:from>
      <xdr:col>6</xdr:col>
      <xdr:colOff>19051</xdr:colOff>
      <xdr:row>15</xdr:row>
      <xdr:rowOff>0</xdr:rowOff>
    </xdr:from>
    <xdr:to>
      <xdr:col>8</xdr:col>
      <xdr:colOff>514350</xdr:colOff>
      <xdr:row>21</xdr:row>
      <xdr:rowOff>0</xdr:rowOff>
    </xdr:to>
    <xdr:sp macro="" textlink="">
      <xdr:nvSpPr>
        <xdr:cNvPr id="9" name="Rectangle: Rounded Corners 8">
          <a:extLst>
            <a:ext uri="{FF2B5EF4-FFF2-40B4-BE49-F238E27FC236}">
              <a16:creationId xmlns:a16="http://schemas.microsoft.com/office/drawing/2014/main" id="{F3301C07-9A8F-46C9-975C-4A5064B331C5}"/>
            </a:ext>
          </a:extLst>
        </xdr:cNvPr>
        <xdr:cNvSpPr/>
      </xdr:nvSpPr>
      <xdr:spPr>
        <a:xfrm>
          <a:off x="3692980" y="2789464"/>
          <a:ext cx="1719941" cy="1143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lt1"/>
              </a:solidFill>
              <a:effectLst/>
              <a:latin typeface="+mn-lt"/>
              <a:ea typeface="+mn-ea"/>
              <a:cs typeface="+mn-cs"/>
            </a:rPr>
            <a:t>Total Sales</a:t>
          </a:r>
          <a:r>
            <a:rPr lang="en-US" sz="1600">
              <a:effectLst/>
            </a:rPr>
            <a:t> </a:t>
          </a:r>
        </a:p>
        <a:p>
          <a:pPr algn="ctr"/>
          <a:r>
            <a:rPr lang="en-US" sz="1800">
              <a:effectLst/>
            </a:rPr>
            <a:t> </a:t>
          </a:r>
          <a:endParaRPr lang="en-US" sz="1800"/>
        </a:p>
      </xdr:txBody>
    </xdr:sp>
    <xdr:clientData/>
  </xdr:twoCellAnchor>
  <xdr:twoCellAnchor>
    <xdr:from>
      <xdr:col>8</xdr:col>
      <xdr:colOff>544613</xdr:colOff>
      <xdr:row>14</xdr:row>
      <xdr:rowOff>190499</xdr:rowOff>
    </xdr:from>
    <xdr:to>
      <xdr:col>11</xdr:col>
      <xdr:colOff>550328</xdr:colOff>
      <xdr:row>21</xdr:row>
      <xdr:rowOff>13606</xdr:rowOff>
    </xdr:to>
    <xdr:sp macro="" textlink="">
      <xdr:nvSpPr>
        <xdr:cNvPr id="10" name="Rectangle: Rounded Corners 9">
          <a:extLst>
            <a:ext uri="{FF2B5EF4-FFF2-40B4-BE49-F238E27FC236}">
              <a16:creationId xmlns:a16="http://schemas.microsoft.com/office/drawing/2014/main" id="{B8C1175A-AEC8-4B84-95AE-1CD06AE52C2F}"/>
            </a:ext>
          </a:extLst>
        </xdr:cNvPr>
        <xdr:cNvSpPr/>
      </xdr:nvSpPr>
      <xdr:spPr>
        <a:xfrm>
          <a:off x="5443184" y="2789463"/>
          <a:ext cx="1842680" cy="1156607"/>
        </a:xfrm>
        <a:prstGeom prst="roundRect">
          <a:avLst>
            <a:gd name="adj" fmla="val 15491"/>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lt1"/>
              </a:solidFill>
              <a:effectLst/>
              <a:latin typeface="+mn-lt"/>
              <a:ea typeface="+mn-ea"/>
              <a:cs typeface="+mn-cs"/>
            </a:rPr>
            <a:t>Total Quantity</a:t>
          </a:r>
        </a:p>
        <a:p>
          <a:pPr algn="ctr"/>
          <a:r>
            <a:rPr lang="en-US" sz="1600">
              <a:effectLst/>
            </a:rPr>
            <a:t>  </a:t>
          </a:r>
        </a:p>
      </xdr:txBody>
    </xdr:sp>
    <xdr:clientData/>
  </xdr:twoCellAnchor>
  <xdr:twoCellAnchor>
    <xdr:from>
      <xdr:col>11</xdr:col>
      <xdr:colOff>557893</xdr:colOff>
      <xdr:row>15</xdr:row>
      <xdr:rowOff>0</xdr:rowOff>
    </xdr:from>
    <xdr:to>
      <xdr:col>14</xdr:col>
      <xdr:colOff>396894</xdr:colOff>
      <xdr:row>21</xdr:row>
      <xdr:rowOff>13607</xdr:rowOff>
    </xdr:to>
    <xdr:sp macro="" textlink="">
      <xdr:nvSpPr>
        <xdr:cNvPr id="11" name="Rectangle: Rounded Corners 10">
          <a:extLst>
            <a:ext uri="{FF2B5EF4-FFF2-40B4-BE49-F238E27FC236}">
              <a16:creationId xmlns:a16="http://schemas.microsoft.com/office/drawing/2014/main" id="{943F8907-45FE-47C8-AEFB-5D29A36532D0}"/>
            </a:ext>
          </a:extLst>
        </xdr:cNvPr>
        <xdr:cNvSpPr/>
      </xdr:nvSpPr>
      <xdr:spPr>
        <a:xfrm>
          <a:off x="7293429" y="2789464"/>
          <a:ext cx="1675965" cy="1156607"/>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effectLst/>
            </a:rPr>
            <a:t> </a:t>
          </a:r>
          <a:r>
            <a:rPr lang="en-US" sz="1400" b="1" i="0">
              <a:solidFill>
                <a:schemeClr val="lt1"/>
              </a:solidFill>
              <a:effectLst/>
              <a:latin typeface="+mn-lt"/>
              <a:ea typeface="+mn-ea"/>
              <a:cs typeface="+mn-cs"/>
            </a:rPr>
            <a:t>Average Sales per Order</a:t>
          </a:r>
        </a:p>
        <a:p>
          <a:pPr algn="ctr"/>
          <a:endParaRPr lang="en-US" sz="1400" b="1" i="0">
            <a:solidFill>
              <a:schemeClr val="lt1"/>
            </a:solidFill>
            <a:effectLst/>
            <a:latin typeface="+mn-lt"/>
            <a:ea typeface="+mn-ea"/>
            <a:cs typeface="+mn-cs"/>
          </a:endParaRPr>
        </a:p>
      </xdr:txBody>
    </xdr:sp>
    <xdr:clientData/>
  </xdr:twoCellAnchor>
  <xdr:twoCellAnchor>
    <xdr:from>
      <xdr:col>14</xdr:col>
      <xdr:colOff>427157</xdr:colOff>
      <xdr:row>15</xdr:row>
      <xdr:rowOff>0</xdr:rowOff>
    </xdr:from>
    <xdr:to>
      <xdr:col>17</xdr:col>
      <xdr:colOff>377627</xdr:colOff>
      <xdr:row>21</xdr:row>
      <xdr:rowOff>0</xdr:rowOff>
    </xdr:to>
    <xdr:sp macro="" textlink="">
      <xdr:nvSpPr>
        <xdr:cNvPr id="13" name="Rectangle: Rounded Corners 12">
          <a:extLst>
            <a:ext uri="{FF2B5EF4-FFF2-40B4-BE49-F238E27FC236}">
              <a16:creationId xmlns:a16="http://schemas.microsoft.com/office/drawing/2014/main" id="{61F84048-A8DC-456E-B4CE-A9F4D85EDD85}"/>
            </a:ext>
          </a:extLst>
        </xdr:cNvPr>
        <xdr:cNvSpPr/>
      </xdr:nvSpPr>
      <xdr:spPr>
        <a:xfrm>
          <a:off x="8999657" y="2789464"/>
          <a:ext cx="1787434" cy="11430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a:solidFill>
                <a:schemeClr val="lt1"/>
              </a:solidFill>
              <a:effectLst/>
              <a:latin typeface="+mn-lt"/>
              <a:ea typeface="+mn-ea"/>
              <a:cs typeface="+mn-cs"/>
            </a:rPr>
            <a:t>Total Profit</a:t>
          </a:r>
          <a:endParaRPr lang="en-US" sz="1600">
            <a:effectLst/>
          </a:endParaRPr>
        </a:p>
        <a:p>
          <a:pPr algn="ctr"/>
          <a:r>
            <a:rPr lang="en-US" sz="2000">
              <a:solidFill>
                <a:schemeClr val="lt1"/>
              </a:solidFill>
              <a:effectLst/>
              <a:latin typeface="+mn-lt"/>
              <a:ea typeface="+mn-ea"/>
              <a:cs typeface="+mn-cs"/>
            </a:rPr>
            <a:t> </a:t>
          </a:r>
          <a:endParaRPr lang="en-US" sz="1600">
            <a:effectLst/>
          </a:endParaRPr>
        </a:p>
      </xdr:txBody>
    </xdr:sp>
    <xdr:clientData/>
  </xdr:twoCellAnchor>
  <xdr:twoCellAnchor>
    <xdr:from>
      <xdr:col>17</xdr:col>
      <xdr:colOff>407890</xdr:colOff>
      <xdr:row>15</xdr:row>
      <xdr:rowOff>0</xdr:rowOff>
    </xdr:from>
    <xdr:to>
      <xdr:col>20</xdr:col>
      <xdr:colOff>245964</xdr:colOff>
      <xdr:row>21</xdr:row>
      <xdr:rowOff>13607</xdr:rowOff>
    </xdr:to>
    <xdr:sp macro="" textlink="">
      <xdr:nvSpPr>
        <xdr:cNvPr id="14" name="Rectangle: Rounded Corners 13">
          <a:extLst>
            <a:ext uri="{FF2B5EF4-FFF2-40B4-BE49-F238E27FC236}">
              <a16:creationId xmlns:a16="http://schemas.microsoft.com/office/drawing/2014/main" id="{B7BA495B-9D50-4135-B18D-D8D61F9EDB08}"/>
            </a:ext>
          </a:extLst>
        </xdr:cNvPr>
        <xdr:cNvSpPr/>
      </xdr:nvSpPr>
      <xdr:spPr>
        <a:xfrm>
          <a:off x="10817354" y="2789464"/>
          <a:ext cx="1675039" cy="1156607"/>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lt1"/>
              </a:solidFill>
              <a:effectLst/>
              <a:latin typeface="+mn-lt"/>
              <a:ea typeface="+mn-ea"/>
              <a:cs typeface="+mn-cs"/>
            </a:rPr>
            <a:t> </a:t>
          </a:r>
          <a:r>
            <a:rPr lang="en-US" sz="2400" b="1" i="0" u="none" strike="noStrike">
              <a:solidFill>
                <a:schemeClr val="lt1"/>
              </a:solidFill>
              <a:effectLst/>
              <a:latin typeface="+mn-lt"/>
              <a:ea typeface="+mn-ea"/>
              <a:cs typeface="+mn-cs"/>
            </a:rPr>
            <a:t>Cost</a:t>
          </a:r>
        </a:p>
        <a:p>
          <a:pPr algn="ctr"/>
          <a:r>
            <a:rPr lang="en-US" sz="1800">
              <a:effectLst/>
            </a:rPr>
            <a:t>  </a:t>
          </a:r>
          <a:endParaRPr lang="en-US" sz="1800"/>
        </a:p>
      </xdr:txBody>
    </xdr:sp>
    <xdr:clientData/>
  </xdr:twoCellAnchor>
  <xdr:twoCellAnchor>
    <xdr:from>
      <xdr:col>20</xdr:col>
      <xdr:colOff>276225</xdr:colOff>
      <xdr:row>15</xdr:row>
      <xdr:rowOff>0</xdr:rowOff>
    </xdr:from>
    <xdr:to>
      <xdr:col>22</xdr:col>
      <xdr:colOff>600074</xdr:colOff>
      <xdr:row>21</xdr:row>
      <xdr:rowOff>0</xdr:rowOff>
    </xdr:to>
    <xdr:sp macro="" textlink="">
      <xdr:nvSpPr>
        <xdr:cNvPr id="16" name="Rectangle: Rounded Corners 15">
          <a:extLst>
            <a:ext uri="{FF2B5EF4-FFF2-40B4-BE49-F238E27FC236}">
              <a16:creationId xmlns:a16="http://schemas.microsoft.com/office/drawing/2014/main" id="{26525BEC-3478-4B77-91C9-3C94BFE909BD}"/>
            </a:ext>
          </a:extLst>
        </xdr:cNvPr>
        <xdr:cNvSpPr/>
      </xdr:nvSpPr>
      <xdr:spPr>
        <a:xfrm>
          <a:off x="12522654" y="2789464"/>
          <a:ext cx="1548491" cy="11430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lt1"/>
              </a:solidFill>
              <a:effectLst/>
              <a:latin typeface="+mn-lt"/>
              <a:ea typeface="+mn-ea"/>
              <a:cs typeface="+mn-cs"/>
            </a:rPr>
            <a:t>Profit Percentage</a:t>
          </a:r>
        </a:p>
        <a:p>
          <a:pPr algn="ctr"/>
          <a:endParaRPr lang="en-US" sz="1600">
            <a:effectLst/>
          </a:endParaRPr>
        </a:p>
      </xdr:txBody>
    </xdr:sp>
    <xdr:clientData/>
  </xdr:twoCellAnchor>
  <xdr:twoCellAnchor editAs="oneCell">
    <xdr:from>
      <xdr:col>6</xdr:col>
      <xdr:colOff>57151</xdr:colOff>
      <xdr:row>15</xdr:row>
      <xdr:rowOff>66676</xdr:rowOff>
    </xdr:from>
    <xdr:to>
      <xdr:col>6</xdr:col>
      <xdr:colOff>419101</xdr:colOff>
      <xdr:row>17</xdr:row>
      <xdr:rowOff>47626</xdr:rowOff>
    </xdr:to>
    <xdr:pic>
      <xdr:nvPicPr>
        <xdr:cNvPr id="18" name="Graphic 17" descr="Coins">
          <a:extLst>
            <a:ext uri="{FF2B5EF4-FFF2-40B4-BE49-F238E27FC236}">
              <a16:creationId xmlns:a16="http://schemas.microsoft.com/office/drawing/2014/main" id="{B61668FD-C31D-8EA7-3303-B1570F39872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14751" y="2857501"/>
          <a:ext cx="361950" cy="361950"/>
        </a:xfrm>
        <a:prstGeom prst="rect">
          <a:avLst/>
        </a:prstGeom>
      </xdr:spPr>
    </xdr:pic>
    <xdr:clientData/>
  </xdr:twoCellAnchor>
  <xdr:twoCellAnchor editAs="oneCell">
    <xdr:from>
      <xdr:col>8</xdr:col>
      <xdr:colOff>571502</xdr:colOff>
      <xdr:row>15</xdr:row>
      <xdr:rowOff>25855</xdr:rowOff>
    </xdr:from>
    <xdr:to>
      <xdr:col>9</xdr:col>
      <xdr:colOff>378280</xdr:colOff>
      <xdr:row>17</xdr:row>
      <xdr:rowOff>63955</xdr:rowOff>
    </xdr:to>
    <xdr:pic>
      <xdr:nvPicPr>
        <xdr:cNvPr id="20" name="Graphic 19" descr="Box">
          <a:extLst>
            <a:ext uri="{FF2B5EF4-FFF2-40B4-BE49-F238E27FC236}">
              <a16:creationId xmlns:a16="http://schemas.microsoft.com/office/drawing/2014/main" id="{E22BB81F-193C-654B-54B8-3C89EF7B3D6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70073" y="2815319"/>
          <a:ext cx="419100" cy="419100"/>
        </a:xfrm>
        <a:prstGeom prst="rect">
          <a:avLst/>
        </a:prstGeom>
      </xdr:spPr>
    </xdr:pic>
    <xdr:clientData/>
  </xdr:twoCellAnchor>
  <xdr:twoCellAnchor editAs="oneCell">
    <xdr:from>
      <xdr:col>12</xdr:col>
      <xdr:colOff>42184</xdr:colOff>
      <xdr:row>15</xdr:row>
      <xdr:rowOff>25856</xdr:rowOff>
    </xdr:from>
    <xdr:to>
      <xdr:col>12</xdr:col>
      <xdr:colOff>356508</xdr:colOff>
      <xdr:row>16</xdr:row>
      <xdr:rowOff>149680</xdr:rowOff>
    </xdr:to>
    <xdr:pic>
      <xdr:nvPicPr>
        <xdr:cNvPr id="24" name="Graphic 23" descr="Shopping cart">
          <a:extLst>
            <a:ext uri="{FF2B5EF4-FFF2-40B4-BE49-F238E27FC236}">
              <a16:creationId xmlns:a16="http://schemas.microsoft.com/office/drawing/2014/main" id="{A2BA0DCE-B237-B141-E6F1-852709657FF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0041" y="2815320"/>
          <a:ext cx="314324" cy="314324"/>
        </a:xfrm>
        <a:prstGeom prst="rect">
          <a:avLst/>
        </a:prstGeom>
      </xdr:spPr>
    </xdr:pic>
    <xdr:clientData/>
  </xdr:twoCellAnchor>
  <xdr:twoCellAnchor editAs="oneCell">
    <xdr:from>
      <xdr:col>14</xdr:col>
      <xdr:colOff>484415</xdr:colOff>
      <xdr:row>15</xdr:row>
      <xdr:rowOff>70758</xdr:rowOff>
    </xdr:from>
    <xdr:to>
      <xdr:col>15</xdr:col>
      <xdr:colOff>266467</xdr:colOff>
      <xdr:row>17</xdr:row>
      <xdr:rowOff>81643</xdr:rowOff>
    </xdr:to>
    <xdr:pic>
      <xdr:nvPicPr>
        <xdr:cNvPr id="27" name="Graphic 26" descr="Bar graph with upward trend">
          <a:extLst>
            <a:ext uri="{FF2B5EF4-FFF2-40B4-BE49-F238E27FC236}">
              <a16:creationId xmlns:a16="http://schemas.microsoft.com/office/drawing/2014/main" id="{F16B16A5-34C5-8294-00FA-383EAF5001A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056915" y="2860222"/>
          <a:ext cx="394373" cy="391885"/>
        </a:xfrm>
        <a:prstGeom prst="rect">
          <a:avLst/>
        </a:prstGeom>
      </xdr:spPr>
    </xdr:pic>
    <xdr:clientData/>
  </xdr:twoCellAnchor>
  <xdr:twoCellAnchor editAs="oneCell">
    <xdr:from>
      <xdr:col>17</xdr:col>
      <xdr:colOff>533400</xdr:colOff>
      <xdr:row>15</xdr:row>
      <xdr:rowOff>85725</xdr:rowOff>
    </xdr:from>
    <xdr:to>
      <xdr:col>18</xdr:col>
      <xdr:colOff>314325</xdr:colOff>
      <xdr:row>17</xdr:row>
      <xdr:rowOff>95250</xdr:rowOff>
    </xdr:to>
    <xdr:pic>
      <xdr:nvPicPr>
        <xdr:cNvPr id="29" name="Graphic 28" descr="Money">
          <a:extLst>
            <a:ext uri="{FF2B5EF4-FFF2-40B4-BE49-F238E27FC236}">
              <a16:creationId xmlns:a16="http://schemas.microsoft.com/office/drawing/2014/main" id="{BA616522-AAA0-2575-5C86-2B25B69E1E6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896600" y="2876550"/>
          <a:ext cx="390525" cy="390525"/>
        </a:xfrm>
        <a:prstGeom prst="rect">
          <a:avLst/>
        </a:prstGeom>
      </xdr:spPr>
    </xdr:pic>
    <xdr:clientData/>
  </xdr:twoCellAnchor>
  <xdr:twoCellAnchor editAs="oneCell">
    <xdr:from>
      <xdr:col>20</xdr:col>
      <xdr:colOff>323851</xdr:colOff>
      <xdr:row>15</xdr:row>
      <xdr:rowOff>66676</xdr:rowOff>
    </xdr:from>
    <xdr:to>
      <xdr:col>21</xdr:col>
      <xdr:colOff>123825</xdr:colOff>
      <xdr:row>17</xdr:row>
      <xdr:rowOff>95250</xdr:rowOff>
    </xdr:to>
    <xdr:pic>
      <xdr:nvPicPr>
        <xdr:cNvPr id="30" name="Graphic 29" descr="Bar graph with upward trend">
          <a:extLst>
            <a:ext uri="{FF2B5EF4-FFF2-40B4-BE49-F238E27FC236}">
              <a16:creationId xmlns:a16="http://schemas.microsoft.com/office/drawing/2014/main" id="{2D95F151-DFA5-A32E-A1DD-C5A7A8F94E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515851" y="2857501"/>
          <a:ext cx="409574" cy="409574"/>
        </a:xfrm>
        <a:prstGeom prst="rect">
          <a:avLst/>
        </a:prstGeom>
      </xdr:spPr>
    </xdr:pic>
    <xdr:clientData/>
  </xdr:twoCellAnchor>
  <xdr:twoCellAnchor editAs="oneCell">
    <xdr:from>
      <xdr:col>25</xdr:col>
      <xdr:colOff>523875</xdr:colOff>
      <xdr:row>10</xdr:row>
      <xdr:rowOff>161925</xdr:rowOff>
    </xdr:from>
    <xdr:to>
      <xdr:col>26</xdr:col>
      <xdr:colOff>514350</xdr:colOff>
      <xdr:row>14</xdr:row>
      <xdr:rowOff>0</xdr:rowOff>
    </xdr:to>
    <xdr:pic>
      <xdr:nvPicPr>
        <xdr:cNvPr id="32" name="Graphic 31" descr="Daily calendar">
          <a:extLst>
            <a:ext uri="{FF2B5EF4-FFF2-40B4-BE49-F238E27FC236}">
              <a16:creationId xmlns:a16="http://schemas.microsoft.com/office/drawing/2014/main" id="{B181B3AE-B2AA-5E13-83DC-D43D8351254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763875" y="2000250"/>
          <a:ext cx="600075" cy="600075"/>
        </a:xfrm>
        <a:prstGeom prst="rect">
          <a:avLst/>
        </a:prstGeom>
      </xdr:spPr>
    </xdr:pic>
    <xdr:clientData/>
  </xdr:twoCellAnchor>
  <xdr:twoCellAnchor>
    <xdr:from>
      <xdr:col>26</xdr:col>
      <xdr:colOff>447675</xdr:colOff>
      <xdr:row>10</xdr:row>
      <xdr:rowOff>180976</xdr:rowOff>
    </xdr:from>
    <xdr:to>
      <xdr:col>28</xdr:col>
      <xdr:colOff>466725</xdr:colOff>
      <xdr:row>13</xdr:row>
      <xdr:rowOff>180976</xdr:rowOff>
    </xdr:to>
    <xdr:sp macro="" textlink="">
      <xdr:nvSpPr>
        <xdr:cNvPr id="33" name="TextBox 32">
          <a:extLst>
            <a:ext uri="{FF2B5EF4-FFF2-40B4-BE49-F238E27FC236}">
              <a16:creationId xmlns:a16="http://schemas.microsoft.com/office/drawing/2014/main" id="{D1F3B494-F99D-BD3F-DC98-E0BAE31D2734}"/>
            </a:ext>
          </a:extLst>
        </xdr:cNvPr>
        <xdr:cNvSpPr txBox="1"/>
      </xdr:nvSpPr>
      <xdr:spPr>
        <a:xfrm>
          <a:off x="16297275" y="2019301"/>
          <a:ext cx="1238250" cy="5715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Last Updated </a:t>
          </a:r>
        </a:p>
        <a:p>
          <a:pPr algn="ctr"/>
          <a:r>
            <a:rPr lang="en-US" sz="1200">
              <a:solidFill>
                <a:schemeClr val="bg1"/>
              </a:solidFill>
            </a:rPr>
            <a:t>12.09.2026</a:t>
          </a:r>
        </a:p>
      </xdr:txBody>
    </xdr:sp>
    <xdr:clientData/>
  </xdr:twoCellAnchor>
  <xdr:twoCellAnchor>
    <xdr:from>
      <xdr:col>6</xdr:col>
      <xdr:colOff>47625</xdr:colOff>
      <xdr:row>21</xdr:row>
      <xdr:rowOff>54428</xdr:rowOff>
    </xdr:from>
    <xdr:to>
      <xdr:col>22</xdr:col>
      <xdr:colOff>600075</xdr:colOff>
      <xdr:row>35</xdr:row>
      <xdr:rowOff>133350</xdr:rowOff>
    </xdr:to>
    <xdr:graphicFrame macro="">
      <xdr:nvGraphicFramePr>
        <xdr:cNvPr id="34" name="Chart 33">
          <a:extLst>
            <a:ext uri="{FF2B5EF4-FFF2-40B4-BE49-F238E27FC236}">
              <a16:creationId xmlns:a16="http://schemas.microsoft.com/office/drawing/2014/main" id="{30B11A5D-23B8-48EF-9682-A7BB47BBC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42181</xdr:colOff>
      <xdr:row>35</xdr:row>
      <xdr:rowOff>149678</xdr:rowOff>
    </xdr:from>
    <xdr:to>
      <xdr:col>14</xdr:col>
      <xdr:colOff>185056</xdr:colOff>
      <xdr:row>45</xdr:row>
      <xdr:rowOff>70757</xdr:rowOff>
    </xdr:to>
    <xdr:graphicFrame macro="">
      <xdr:nvGraphicFramePr>
        <xdr:cNvPr id="35" name="Chart 34">
          <a:extLst>
            <a:ext uri="{FF2B5EF4-FFF2-40B4-BE49-F238E27FC236}">
              <a16:creationId xmlns:a16="http://schemas.microsoft.com/office/drawing/2014/main" id="{F5509AB5-C955-4006-853D-FE805FE1A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13606</xdr:colOff>
      <xdr:row>15</xdr:row>
      <xdr:rowOff>13607</xdr:rowOff>
    </xdr:from>
    <xdr:to>
      <xdr:col>28</xdr:col>
      <xdr:colOff>571500</xdr:colOff>
      <xdr:row>58</xdr:row>
      <xdr:rowOff>149679</xdr:rowOff>
    </xdr:to>
    <xdr:sp macro="" textlink="">
      <xdr:nvSpPr>
        <xdr:cNvPr id="41" name="Rectangle 40">
          <a:extLst>
            <a:ext uri="{FF2B5EF4-FFF2-40B4-BE49-F238E27FC236}">
              <a16:creationId xmlns:a16="http://schemas.microsoft.com/office/drawing/2014/main" id="{AE0F6963-F023-AE2A-9A49-A97E11D2FF5C}"/>
            </a:ext>
          </a:extLst>
        </xdr:cNvPr>
        <xdr:cNvSpPr/>
      </xdr:nvSpPr>
      <xdr:spPr>
        <a:xfrm>
          <a:off x="14096999" y="2803071"/>
          <a:ext cx="3619501" cy="840921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23</xdr:col>
      <xdr:colOff>50345</xdr:colOff>
      <xdr:row>18</xdr:row>
      <xdr:rowOff>148317</xdr:rowOff>
    </xdr:from>
    <xdr:to>
      <xdr:col>28</xdr:col>
      <xdr:colOff>571500</xdr:colOff>
      <xdr:row>26</xdr:row>
      <xdr:rowOff>102051</xdr:rowOff>
    </xdr:to>
    <mc:AlternateContent xmlns:mc="http://schemas.openxmlformats.org/markup-compatibility/2006">
      <mc:Choice xmlns:a14="http://schemas.microsoft.com/office/drawing/2010/main" Requires="a14">
        <xdr:graphicFrame macro="">
          <xdr:nvGraphicFramePr>
            <xdr:cNvPr id="43" name="Region 2">
              <a:extLst>
                <a:ext uri="{FF2B5EF4-FFF2-40B4-BE49-F238E27FC236}">
                  <a16:creationId xmlns:a16="http://schemas.microsoft.com/office/drawing/2014/main" id="{406ABC6E-05DD-461B-B2B6-312035DE73F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4133738" y="3509281"/>
              <a:ext cx="3582762" cy="1709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32656</xdr:colOff>
      <xdr:row>37</xdr:row>
      <xdr:rowOff>153760</xdr:rowOff>
    </xdr:from>
    <xdr:to>
      <xdr:col>28</xdr:col>
      <xdr:colOff>549727</xdr:colOff>
      <xdr:row>49</xdr:row>
      <xdr:rowOff>156483</xdr:rowOff>
    </xdr:to>
    <mc:AlternateContent xmlns:mc="http://schemas.openxmlformats.org/markup-compatibility/2006">
      <mc:Choice xmlns:a14="http://schemas.microsoft.com/office/drawing/2010/main" Requires="a14">
        <xdr:graphicFrame macro="">
          <xdr:nvGraphicFramePr>
            <xdr:cNvPr id="44" name="Customer 2">
              <a:extLst>
                <a:ext uri="{FF2B5EF4-FFF2-40B4-BE49-F238E27FC236}">
                  <a16:creationId xmlns:a16="http://schemas.microsoft.com/office/drawing/2014/main" id="{0C876BD8-A10E-4E59-8E44-2CD9628CFF53}"/>
                </a:ext>
              </a:extLst>
            </xdr:cNvPr>
            <xdr:cNvGraphicFramePr/>
          </xdr:nvGraphicFramePr>
          <xdr:xfrm>
            <a:off x="0" y="0"/>
            <a:ext cx="0" cy="0"/>
          </xdr:xfrm>
          <a:graphic>
            <a:graphicData uri="http://schemas.microsoft.com/office/drawing/2010/slicer">
              <sle:slicer xmlns:sle="http://schemas.microsoft.com/office/drawing/2010/slicer" name="Customer 2"/>
            </a:graphicData>
          </a:graphic>
        </xdr:graphicFrame>
      </mc:Choice>
      <mc:Fallback>
        <xdr:sp macro="" textlink="">
          <xdr:nvSpPr>
            <xdr:cNvPr id="0" name=""/>
            <xdr:cNvSpPr>
              <a:spLocks noTextEdit="1"/>
            </xdr:cNvSpPr>
          </xdr:nvSpPr>
          <xdr:spPr>
            <a:xfrm>
              <a:off x="14116049" y="7447189"/>
              <a:ext cx="3578678" cy="2343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46263</xdr:colOff>
      <xdr:row>27</xdr:row>
      <xdr:rowOff>164646</xdr:rowOff>
    </xdr:from>
    <xdr:to>
      <xdr:col>28</xdr:col>
      <xdr:colOff>590549</xdr:colOff>
      <xdr:row>37</xdr:row>
      <xdr:rowOff>136072</xdr:rowOff>
    </xdr:to>
    <mc:AlternateContent xmlns:mc="http://schemas.openxmlformats.org/markup-compatibility/2006">
      <mc:Choice xmlns:a14="http://schemas.microsoft.com/office/drawing/2010/main" Requires="a14">
        <xdr:graphicFrame macro="">
          <xdr:nvGraphicFramePr>
            <xdr:cNvPr id="45" name="Product 2">
              <a:extLst>
                <a:ext uri="{FF2B5EF4-FFF2-40B4-BE49-F238E27FC236}">
                  <a16:creationId xmlns:a16="http://schemas.microsoft.com/office/drawing/2014/main" id="{BE12785D-239F-4C05-9B13-CC02B026E35D}"/>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14129656" y="5471432"/>
              <a:ext cx="3605893" cy="1958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40821</xdr:colOff>
      <xdr:row>50</xdr:row>
      <xdr:rowOff>47626</xdr:rowOff>
    </xdr:from>
    <xdr:to>
      <xdr:col>28</xdr:col>
      <xdr:colOff>517069</xdr:colOff>
      <xdr:row>58</xdr:row>
      <xdr:rowOff>130630</xdr:rowOff>
    </xdr:to>
    <mc:AlternateContent xmlns:mc="http://schemas.openxmlformats.org/markup-compatibility/2006">
      <mc:Choice xmlns:tsle="http://schemas.microsoft.com/office/drawing/2012/timeslicer" Requires="tsle">
        <xdr:graphicFrame macro="">
          <xdr:nvGraphicFramePr>
            <xdr:cNvPr id="46" name="Order Date 2">
              <a:extLst>
                <a:ext uri="{FF2B5EF4-FFF2-40B4-BE49-F238E27FC236}">
                  <a16:creationId xmlns:a16="http://schemas.microsoft.com/office/drawing/2014/main" id="{C841FBD0-C27F-4E7C-AC4F-42FC23FD81AB}"/>
                </a:ext>
              </a:extLst>
            </xdr:cNvPr>
            <xdr:cNvGraphicFramePr/>
          </xdr:nvGraphicFramePr>
          <xdr:xfrm>
            <a:off x="0" y="0"/>
            <a:ext cx="0" cy="0"/>
          </xdr:xfrm>
          <a:graphic>
            <a:graphicData uri="http://schemas.microsoft.com/office/drawing/2012/timeslicer">
              <tsle:timeslicer xmlns:tsle="http://schemas.microsoft.com/office/drawing/2012/timeslicer" name="Order Date 2"/>
            </a:graphicData>
          </a:graphic>
        </xdr:graphicFrame>
      </mc:Choice>
      <mc:Fallback>
        <xdr:sp macro="" textlink="">
          <xdr:nvSpPr>
            <xdr:cNvPr id="0" name=""/>
            <xdr:cNvSpPr>
              <a:spLocks noTextEdit="1"/>
            </xdr:cNvSpPr>
          </xdr:nvSpPr>
          <xdr:spPr>
            <a:xfrm>
              <a:off x="14124214" y="9871983"/>
              <a:ext cx="3537855" cy="160700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23</xdr:col>
      <xdr:colOff>47625</xdr:colOff>
      <xdr:row>15</xdr:row>
      <xdr:rowOff>95250</xdr:rowOff>
    </xdr:from>
    <xdr:to>
      <xdr:col>28</xdr:col>
      <xdr:colOff>495300</xdr:colOff>
      <xdr:row>18</xdr:row>
      <xdr:rowOff>104776</xdr:rowOff>
    </xdr:to>
    <xdr:sp macro="" textlink="">
      <xdr:nvSpPr>
        <xdr:cNvPr id="47" name="TextBox 46">
          <a:extLst>
            <a:ext uri="{FF2B5EF4-FFF2-40B4-BE49-F238E27FC236}">
              <a16:creationId xmlns:a16="http://schemas.microsoft.com/office/drawing/2014/main" id="{F26A7D02-D1E2-211B-08A8-852A702CDEBB}"/>
            </a:ext>
          </a:extLst>
        </xdr:cNvPr>
        <xdr:cNvSpPr txBox="1"/>
      </xdr:nvSpPr>
      <xdr:spPr>
        <a:xfrm>
          <a:off x="14068425" y="2886075"/>
          <a:ext cx="3495675" cy="58102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23</xdr:col>
      <xdr:colOff>209550</xdr:colOff>
      <xdr:row>15</xdr:row>
      <xdr:rowOff>180975</xdr:rowOff>
    </xdr:from>
    <xdr:to>
      <xdr:col>24</xdr:col>
      <xdr:colOff>171450</xdr:colOff>
      <xdr:row>18</xdr:row>
      <xdr:rowOff>180975</xdr:rowOff>
    </xdr:to>
    <xdr:pic>
      <xdr:nvPicPr>
        <xdr:cNvPr id="52" name="Graphic 51" descr="Filter">
          <a:extLst>
            <a:ext uri="{FF2B5EF4-FFF2-40B4-BE49-F238E27FC236}">
              <a16:creationId xmlns:a16="http://schemas.microsoft.com/office/drawing/2014/main" id="{1BA47474-D5DE-C7DB-7791-36B726346F7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230350" y="2971800"/>
          <a:ext cx="571500" cy="571500"/>
        </a:xfrm>
        <a:prstGeom prst="rect">
          <a:avLst/>
        </a:prstGeom>
      </xdr:spPr>
    </xdr:pic>
    <xdr:clientData/>
  </xdr:twoCellAnchor>
  <xdr:twoCellAnchor>
    <xdr:from>
      <xdr:col>24</xdr:col>
      <xdr:colOff>19051</xdr:colOff>
      <xdr:row>15</xdr:row>
      <xdr:rowOff>142875</xdr:rowOff>
    </xdr:from>
    <xdr:to>
      <xdr:col>26</xdr:col>
      <xdr:colOff>28575</xdr:colOff>
      <xdr:row>18</xdr:row>
      <xdr:rowOff>104775</xdr:rowOff>
    </xdr:to>
    <xdr:sp macro="" textlink="">
      <xdr:nvSpPr>
        <xdr:cNvPr id="53" name="TextBox 52">
          <a:extLst>
            <a:ext uri="{FF2B5EF4-FFF2-40B4-BE49-F238E27FC236}">
              <a16:creationId xmlns:a16="http://schemas.microsoft.com/office/drawing/2014/main" id="{C569C6B8-4050-49CD-67D6-50560D27EE73}"/>
            </a:ext>
          </a:extLst>
        </xdr:cNvPr>
        <xdr:cNvSpPr txBox="1"/>
      </xdr:nvSpPr>
      <xdr:spPr>
        <a:xfrm>
          <a:off x="14649451" y="2933700"/>
          <a:ext cx="1228724" cy="5334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Filter</a:t>
          </a:r>
          <a:r>
            <a:rPr lang="en-US" sz="1100"/>
            <a:t> </a:t>
          </a:r>
        </a:p>
      </xdr:txBody>
    </xdr:sp>
    <xdr:clientData/>
  </xdr:twoCellAnchor>
  <xdr:twoCellAnchor>
    <xdr:from>
      <xdr:col>6</xdr:col>
      <xdr:colOff>36738</xdr:colOff>
      <xdr:row>45</xdr:row>
      <xdr:rowOff>89808</xdr:rowOff>
    </xdr:from>
    <xdr:to>
      <xdr:col>14</xdr:col>
      <xdr:colOff>198663</xdr:colOff>
      <xdr:row>58</xdr:row>
      <xdr:rowOff>156483</xdr:rowOff>
    </xdr:to>
    <xdr:graphicFrame macro="">
      <xdr:nvGraphicFramePr>
        <xdr:cNvPr id="54" name="Chart 53">
          <a:extLst>
            <a:ext uri="{FF2B5EF4-FFF2-40B4-BE49-F238E27FC236}">
              <a16:creationId xmlns:a16="http://schemas.microsoft.com/office/drawing/2014/main" id="{37948F71-EE2B-45C0-AA27-57D13C73C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223158</xdr:colOff>
      <xdr:row>35</xdr:row>
      <xdr:rowOff>163286</xdr:rowOff>
    </xdr:from>
    <xdr:to>
      <xdr:col>22</xdr:col>
      <xdr:colOff>594632</xdr:colOff>
      <xdr:row>58</xdr:row>
      <xdr:rowOff>149680</xdr:rowOff>
    </xdr:to>
    <xdr:graphicFrame macro="">
      <xdr:nvGraphicFramePr>
        <xdr:cNvPr id="55" name="Chart 54">
          <a:extLst>
            <a:ext uri="{FF2B5EF4-FFF2-40B4-BE49-F238E27FC236}">
              <a16:creationId xmlns:a16="http://schemas.microsoft.com/office/drawing/2014/main" id="{FA5E64D3-C045-41ED-92D2-44F11BE9C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217714</xdr:colOff>
      <xdr:row>18</xdr:row>
      <xdr:rowOff>27215</xdr:rowOff>
    </xdr:from>
    <xdr:to>
      <xdr:col>8</xdr:col>
      <xdr:colOff>258536</xdr:colOff>
      <xdr:row>20</xdr:row>
      <xdr:rowOff>68036</xdr:rowOff>
    </xdr:to>
    <xdr:sp macro="" textlink="AL45">
      <xdr:nvSpPr>
        <xdr:cNvPr id="62" name="TextBox 61">
          <a:extLst>
            <a:ext uri="{FF2B5EF4-FFF2-40B4-BE49-F238E27FC236}">
              <a16:creationId xmlns:a16="http://schemas.microsoft.com/office/drawing/2014/main" id="{0B10DC72-B8CA-3C9B-8B6A-7651D7B77590}"/>
            </a:ext>
          </a:extLst>
        </xdr:cNvPr>
        <xdr:cNvSpPr txBox="1"/>
      </xdr:nvSpPr>
      <xdr:spPr>
        <a:xfrm>
          <a:off x="3891643" y="3388179"/>
          <a:ext cx="1265464" cy="42182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00CC39-F36D-443D-B854-59F02F3EA1B1}" type="TxLink">
            <a:rPr lang="en-US" sz="2000" b="0" i="0" u="none" strike="noStrike">
              <a:solidFill>
                <a:schemeClr val="bg1"/>
              </a:solidFill>
              <a:latin typeface="Calibri"/>
              <a:ea typeface="Calibri"/>
              <a:cs typeface="Calibri"/>
            </a:rPr>
            <a:t>2492000</a:t>
          </a:fld>
          <a:endParaRPr lang="en-US" sz="2000">
            <a:solidFill>
              <a:schemeClr val="bg1"/>
            </a:solidFill>
          </a:endParaRPr>
        </a:p>
      </xdr:txBody>
    </xdr:sp>
    <xdr:clientData/>
  </xdr:twoCellAnchor>
  <xdr:twoCellAnchor>
    <xdr:from>
      <xdr:col>9</xdr:col>
      <xdr:colOff>108858</xdr:colOff>
      <xdr:row>18</xdr:row>
      <xdr:rowOff>13607</xdr:rowOff>
    </xdr:from>
    <xdr:to>
      <xdr:col>11</xdr:col>
      <xdr:colOff>244929</xdr:colOff>
      <xdr:row>20</xdr:row>
      <xdr:rowOff>136072</xdr:rowOff>
    </xdr:to>
    <xdr:sp macro="" textlink="AL47">
      <xdr:nvSpPr>
        <xdr:cNvPr id="63" name="TextBox 62">
          <a:extLst>
            <a:ext uri="{FF2B5EF4-FFF2-40B4-BE49-F238E27FC236}">
              <a16:creationId xmlns:a16="http://schemas.microsoft.com/office/drawing/2014/main" id="{D2E66C63-8856-D286-3E77-70B325990E73}"/>
            </a:ext>
          </a:extLst>
        </xdr:cNvPr>
        <xdr:cNvSpPr txBox="1"/>
      </xdr:nvSpPr>
      <xdr:spPr>
        <a:xfrm>
          <a:off x="5619751" y="3374571"/>
          <a:ext cx="1360714" cy="503465"/>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8B47900-5229-4B53-AE8C-CE89A9873FE6}" type="TxLink">
            <a:rPr lang="en-US" sz="2800" b="0" i="0" u="none" strike="noStrike">
              <a:solidFill>
                <a:schemeClr val="bg1"/>
              </a:solidFill>
              <a:latin typeface="Calibri"/>
              <a:ea typeface="Calibri"/>
              <a:cs typeface="Calibri"/>
            </a:rPr>
            <a:pPr algn="ctr"/>
            <a:t>160</a:t>
          </a:fld>
          <a:endParaRPr lang="en-US" sz="2800">
            <a:solidFill>
              <a:schemeClr val="bg1"/>
            </a:solidFill>
          </a:endParaRPr>
        </a:p>
      </xdr:txBody>
    </xdr:sp>
    <xdr:clientData/>
  </xdr:twoCellAnchor>
  <xdr:twoCellAnchor>
    <xdr:from>
      <xdr:col>12</xdr:col>
      <xdr:colOff>176894</xdr:colOff>
      <xdr:row>18</xdr:row>
      <xdr:rowOff>122465</xdr:rowOff>
    </xdr:from>
    <xdr:to>
      <xdr:col>14</xdr:col>
      <xdr:colOff>244929</xdr:colOff>
      <xdr:row>20</xdr:row>
      <xdr:rowOff>108856</xdr:rowOff>
    </xdr:to>
    <xdr:sp macro="" textlink="AM53">
      <xdr:nvSpPr>
        <xdr:cNvPr id="64" name="TextBox 63">
          <a:extLst>
            <a:ext uri="{FF2B5EF4-FFF2-40B4-BE49-F238E27FC236}">
              <a16:creationId xmlns:a16="http://schemas.microsoft.com/office/drawing/2014/main" id="{6A0E2D9B-8A6F-701B-C0B9-91C8F2A78BF5}"/>
            </a:ext>
          </a:extLst>
        </xdr:cNvPr>
        <xdr:cNvSpPr txBox="1"/>
      </xdr:nvSpPr>
      <xdr:spPr>
        <a:xfrm>
          <a:off x="7524751" y="3483429"/>
          <a:ext cx="1292678" cy="367391"/>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062C5B-AF4D-43BE-9C0B-93159D2E9A43}" type="TxLink">
            <a:rPr lang="en-US" sz="1800" b="0" i="0" u="none" strike="noStrike">
              <a:solidFill>
                <a:schemeClr val="bg1"/>
              </a:solidFill>
              <a:latin typeface="Calibri"/>
              <a:ea typeface="Calibri"/>
              <a:cs typeface="Calibri"/>
            </a:rPr>
            <a:pPr algn="ctr"/>
            <a:t>62300</a:t>
          </a:fld>
          <a:endParaRPr lang="en-US" sz="1800">
            <a:solidFill>
              <a:schemeClr val="bg1"/>
            </a:solidFill>
          </a:endParaRPr>
        </a:p>
      </xdr:txBody>
    </xdr:sp>
    <xdr:clientData/>
  </xdr:twoCellAnchor>
  <xdr:twoCellAnchor>
    <xdr:from>
      <xdr:col>15</xdr:col>
      <xdr:colOff>54429</xdr:colOff>
      <xdr:row>18</xdr:row>
      <xdr:rowOff>0</xdr:rowOff>
    </xdr:from>
    <xdr:to>
      <xdr:col>17</xdr:col>
      <xdr:colOff>81643</xdr:colOff>
      <xdr:row>20</xdr:row>
      <xdr:rowOff>68036</xdr:rowOff>
    </xdr:to>
    <xdr:sp macro="" textlink="AL49">
      <xdr:nvSpPr>
        <xdr:cNvPr id="66" name="TextBox 65">
          <a:extLst>
            <a:ext uri="{FF2B5EF4-FFF2-40B4-BE49-F238E27FC236}">
              <a16:creationId xmlns:a16="http://schemas.microsoft.com/office/drawing/2014/main" id="{F499416D-AB0B-D805-DB8B-9B569C364F91}"/>
            </a:ext>
          </a:extLst>
        </xdr:cNvPr>
        <xdr:cNvSpPr txBox="1"/>
      </xdr:nvSpPr>
      <xdr:spPr>
        <a:xfrm>
          <a:off x="9239250" y="3360964"/>
          <a:ext cx="1251857" cy="449036"/>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1FE182-B01D-4284-99A0-1AD1C08EC007}" type="TxLink">
            <a:rPr lang="en-US" sz="1800" b="0" i="0" u="none" strike="noStrike">
              <a:solidFill>
                <a:schemeClr val="bg1"/>
              </a:solidFill>
              <a:latin typeface="Calibri"/>
              <a:ea typeface="Calibri"/>
              <a:cs typeface="Calibri"/>
            </a:rPr>
            <a:t>623000</a:t>
          </a:fld>
          <a:endParaRPr lang="en-US" sz="1800">
            <a:solidFill>
              <a:schemeClr val="bg1"/>
            </a:solidFill>
          </a:endParaRPr>
        </a:p>
      </xdr:txBody>
    </xdr:sp>
    <xdr:clientData/>
  </xdr:twoCellAnchor>
  <xdr:twoCellAnchor>
    <xdr:from>
      <xdr:col>17</xdr:col>
      <xdr:colOff>598715</xdr:colOff>
      <xdr:row>18</xdr:row>
      <xdr:rowOff>122465</xdr:rowOff>
    </xdr:from>
    <xdr:to>
      <xdr:col>20</xdr:col>
      <xdr:colOff>122464</xdr:colOff>
      <xdr:row>20</xdr:row>
      <xdr:rowOff>40822</xdr:rowOff>
    </xdr:to>
    <xdr:sp macro="" textlink="AL51">
      <xdr:nvSpPr>
        <xdr:cNvPr id="67" name="TextBox 66">
          <a:extLst>
            <a:ext uri="{FF2B5EF4-FFF2-40B4-BE49-F238E27FC236}">
              <a16:creationId xmlns:a16="http://schemas.microsoft.com/office/drawing/2014/main" id="{C3374BB6-205A-3D83-98B7-7429FC36E092}"/>
            </a:ext>
          </a:extLst>
        </xdr:cNvPr>
        <xdr:cNvSpPr txBox="1"/>
      </xdr:nvSpPr>
      <xdr:spPr>
        <a:xfrm>
          <a:off x="11008179" y="3483429"/>
          <a:ext cx="1360714" cy="299357"/>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817905-9908-4E21-A673-D1A2736670CF}" type="TxLink">
            <a:rPr lang="en-US" sz="2000" b="0" i="0" u="none" strike="noStrike">
              <a:solidFill>
                <a:schemeClr val="bg1"/>
              </a:solidFill>
              <a:latin typeface="Calibri"/>
              <a:ea typeface="Calibri"/>
              <a:cs typeface="Calibri"/>
            </a:rPr>
            <a:t>1869000</a:t>
          </a:fld>
          <a:endParaRPr lang="en-US" sz="2000">
            <a:solidFill>
              <a:schemeClr val="bg1"/>
            </a:solidFill>
          </a:endParaRPr>
        </a:p>
      </xdr:txBody>
    </xdr:sp>
    <xdr:clientData/>
  </xdr:twoCellAnchor>
  <xdr:twoCellAnchor>
    <xdr:from>
      <xdr:col>20</xdr:col>
      <xdr:colOff>489857</xdr:colOff>
      <xdr:row>18</xdr:row>
      <xdr:rowOff>149679</xdr:rowOff>
    </xdr:from>
    <xdr:to>
      <xdr:col>22</xdr:col>
      <xdr:colOff>244929</xdr:colOff>
      <xdr:row>20</xdr:row>
      <xdr:rowOff>13607</xdr:rowOff>
    </xdr:to>
    <xdr:sp macro="" textlink="AL55">
      <xdr:nvSpPr>
        <xdr:cNvPr id="68" name="TextBox 67">
          <a:extLst>
            <a:ext uri="{FF2B5EF4-FFF2-40B4-BE49-F238E27FC236}">
              <a16:creationId xmlns:a16="http://schemas.microsoft.com/office/drawing/2014/main" id="{3190118D-0373-5550-2510-7F31B5387A06}"/>
            </a:ext>
          </a:extLst>
        </xdr:cNvPr>
        <xdr:cNvSpPr txBox="1"/>
      </xdr:nvSpPr>
      <xdr:spPr>
        <a:xfrm>
          <a:off x="12736286" y="3510643"/>
          <a:ext cx="979714" cy="244928"/>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49519BC-61C6-4C7A-A0E0-483B0ACAA00D}" type="TxLink">
            <a:rPr lang="en-US" sz="1800" b="0" i="0" u="none" strike="noStrike">
              <a:solidFill>
                <a:schemeClr val="bg1"/>
              </a:solidFill>
              <a:latin typeface="Calibri"/>
              <a:ea typeface="Calibri"/>
              <a:cs typeface="Calibri"/>
            </a:rPr>
            <a:pPr algn="ctr"/>
            <a:t>25.00%</a:t>
          </a:fld>
          <a:endParaRPr lang="en-US" sz="18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6.411859837965" createdVersion="8" refreshedVersion="8" minRefreshableVersion="3" recordCount="40" xr:uid="{2DE0AF03-F4FD-41F0-AF29-C98ED0C4D7FF}">
  <cacheSource type="worksheet">
    <worksheetSource name="Sales_Data"/>
  </cacheSource>
  <cacheFields count="11">
    <cacheField name="Order ID" numFmtId="0">
      <sharedItems/>
    </cacheField>
    <cacheField name="Order Date" numFmtId="14">
      <sharedItems containsSemiMixedTypes="0" containsNonDate="0" containsDate="1" containsString="0" minDate="2026-01-05T00:00:00" maxDate="2026-04-16T00:00:00" count="20">
        <d v="2026-01-05T00:00:00"/>
        <d v="2026-01-08T00:00:00"/>
        <d v="2026-01-12T00:00:00"/>
        <d v="2026-01-16T00:00:00"/>
        <d v="2026-01-21T00:00:00"/>
        <d v="2026-01-27T00:00:00"/>
        <d v="2026-02-03T00:00:00"/>
        <d v="2026-02-09T00:00:00"/>
        <d v="2026-02-14T00:00:00"/>
        <d v="2026-02-19T00:00:00"/>
        <d v="2026-02-24T00:00:00"/>
        <d v="2026-03-02T00:00:00"/>
        <d v="2026-03-07T00:00:00"/>
        <d v="2026-03-13T00:00:00"/>
        <d v="2026-03-18T00:00:00"/>
        <d v="2026-03-23T00:00:00"/>
        <d v="2026-03-28T00:00:00"/>
        <d v="2026-04-04T00:00:00"/>
        <d v="2026-04-10T00:00:00"/>
        <d v="2026-04-15T00:00:00"/>
      </sharedItems>
      <fieldGroup par="10"/>
    </cacheField>
    <cacheField name="Region" numFmtId="0">
      <sharedItems count="5">
        <s v="Dhaka"/>
        <s v="Chattogram"/>
        <s v="Sylhet"/>
        <s v="Rajshahi"/>
        <s v="Khulna"/>
      </sharedItems>
    </cacheField>
    <cacheField name="Customer" numFmtId="0">
      <sharedItems count="20">
        <s v="Rahim Ahmed"/>
        <s v="Nusrat Jahan"/>
        <s v="Karim Hasan"/>
        <s v="Sadia Islam"/>
        <s v="Tanvir Hossain"/>
        <s v="Mim Akter"/>
        <s v="Fahim Rahman"/>
        <s v="Jannatul Ferdous"/>
        <s v="Sakib Khan"/>
        <s v="Ayesha Rahman"/>
        <s v="Imran Hossain"/>
        <s v="Sumaiya Akter"/>
        <s v="Arif Chowdhury"/>
        <s v="Rafiul Islam"/>
        <s v="Mahiya Sultana"/>
        <s v="Nayeem Hasan"/>
        <s v="Shuvo Das"/>
        <s v="Tania Akter"/>
        <s v="Mahin Kabir"/>
        <s v="Puja Roy"/>
      </sharedItems>
    </cacheField>
    <cacheField name="Product" numFmtId="0">
      <sharedItems count="6">
        <s v="Laptop"/>
        <s v="Monitor"/>
        <s v="Keyboard"/>
        <s v="Mouse"/>
        <s v="Headset"/>
        <s v="Printer"/>
      </sharedItems>
    </cacheField>
    <cacheField name="Quantity" numFmtId="0">
      <sharedItems containsSemiMixedTypes="0" containsString="0" containsNumber="1" containsInteger="1" minValue="1" maxValue="12"/>
    </cacheField>
    <cacheField name="Sales Amount" numFmtId="0">
      <sharedItems containsSemiMixedTypes="0" containsString="0" containsNumber="1" containsInteger="1" minValue="10500" maxValue="192000" count="37">
        <n v="180000"/>
        <n v="90000"/>
        <n v="25000"/>
        <n v="16000"/>
        <n v="60000"/>
        <n v="30000"/>
        <n v="50000"/>
        <n v="20000"/>
        <n v="190000"/>
        <n v="120000"/>
        <n v="27500"/>
        <n v="28000"/>
        <n v="35000"/>
        <n v="24000"/>
        <n v="95000"/>
        <n v="93000"/>
        <n v="52000"/>
        <n v="44000"/>
        <n v="92000"/>
        <n v="62000"/>
        <n v="16500"/>
        <n v="10500"/>
        <n v="185000"/>
        <n v="31000"/>
        <n v="22000"/>
        <n v="78000"/>
        <n v="33000"/>
        <n v="14700"/>
        <n v="97000"/>
        <n v="61000"/>
        <n v="38500"/>
        <n v="57000"/>
        <n v="27000"/>
        <n v="19800"/>
        <n v="192000"/>
        <n v="31500"/>
        <n v="106000"/>
      </sharedItems>
    </cacheField>
    <cacheField name="Cost" numFmtId="0">
      <sharedItems containsSemiMixedTypes="0" containsString="0" containsNumber="1" containsInteger="1" minValue="7875" maxValue="144000"/>
    </cacheField>
    <cacheField name="Profit" numFmtId="0">
      <sharedItems containsSemiMixedTypes="0" containsString="0" containsNumber="1" containsInteger="1" minValue="2625" maxValue="48000"/>
    </cacheField>
    <cacheField name="Days (Order Date)" numFmtId="0" databaseField="0">
      <fieldGroup base="1">
        <rangePr groupBy="days" startDate="2026-01-05T00:00:00" endDate="2026-04-16T00:00:00"/>
        <groupItems count="368">
          <s v="&lt;1/5/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6/2026"/>
        </groupItems>
      </fieldGroup>
    </cacheField>
    <cacheField name="Months (Order Date)" numFmtId="0" databaseField="0">
      <fieldGroup base="1">
        <rangePr groupBy="months" startDate="2026-01-05T00:00:00" endDate="2026-04-16T00:00:00"/>
        <groupItems count="14">
          <s v="&lt;1/5/2026"/>
          <s v="Jan"/>
          <s v="Feb"/>
          <s v="Mar"/>
          <s v="Apr"/>
          <s v="May"/>
          <s v="Jun"/>
          <s v="Jul"/>
          <s v="Aug"/>
          <s v="Sep"/>
          <s v="Oct"/>
          <s v="Nov"/>
          <s v="Dec"/>
          <s v="&gt;4/16/2026"/>
        </groupItems>
      </fieldGroup>
    </cacheField>
  </cacheFields>
  <extLst>
    <ext xmlns:x14="http://schemas.microsoft.com/office/spreadsheetml/2009/9/main" uri="{725AE2AE-9491-48be-B2B4-4EB974FC3084}">
      <x14:pivotCacheDefinition pivotCacheId="9047045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7.937858796293" createdVersion="5" refreshedVersion="8" minRefreshableVersion="3" recordCount="0" supportSubquery="1" supportAdvancedDrill="1" xr:uid="{BDC3D02F-6A9B-487E-AE8B-F73DBE54C1F6}">
  <cacheSource type="external" connectionId="4"/>
  <cacheFields count="2">
    <cacheField name="[Measures].[Total Profit]" caption="Total Profit" numFmtId="0" hierarchy="14" level="32767"/>
    <cacheField name="[Sales_Data].[Region].[Region]" caption="Region" numFmtId="0" hierarchy="2" level="1">
      <sharedItems containsSemiMixedTypes="0" containsNonDate="0" containsString="0"/>
    </cacheField>
  </cacheFields>
  <cacheHierarchies count="19">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Customer]" caption="Customer" attribute="1" defaultMemberUniqueName="[Sales_Data].[Customer].[All]" allUniqueName="[Sales_Data].[Customer].[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caption="Cost" attribute="1" defaultMemberUniqueName="[Sales_Data].[Cost].[All]" allUniqueName="[Sales_Data].[Cost].[All]" dimensionUniqueName="[Sales_Data]" displayFolder="" count="0" memberValueDatatype="20" unbalanced="0"/>
    <cacheHierarchy uniqueName="[Sales_Data].[Profit]" caption="Profit" attribute="1" defaultMemberUniqueName="[Sales_Data].[Profit].[All]" allUniqueName="[Sales_Data].[Profit].[All]" dimensionUniqueName="[Sales_Data]" displayFolder="" count="0" memberValueDatatype="20" unbalanced="0"/>
    <cacheHierarchy uniqueName="[Measures].[Count of Region]" caption="Count of Region" measure="1" displayFolder="" measureGroup="Sales_Data" count="0">
      <extLst>
        <ext xmlns:x15="http://schemas.microsoft.com/office/spreadsheetml/2010/11/main" uri="{B97F6D7D-B522-45F9-BDA1-12C45D357490}">
          <x15:cacheHierarchy aggregatedColumn="2"/>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8"/>
        </ext>
      </extLst>
    </cacheHierarchy>
    <cacheHierarchy uniqueName="[Measures].[Total Sales]" caption="Total Sales" measure="1" displayFolder="" measureGroup="Sales_Data" count="0"/>
    <cacheHierarchy uniqueName="[Measures].[Total Quantity]" caption="Total Quantity" measure="1" displayFolder="" measureGroup="Sales_Data" count="0"/>
    <cacheHierarchy uniqueName="[Measures].[Average Sales per Order]" caption="Average Sales per Order" measure="1" displayFolder="" measureGroup="Sales_Data" count="0"/>
    <cacheHierarchy uniqueName="[Measures].[Total Profit]" caption="Total Profit" measure="1" displayFolder="" measureGroup="Sales_Data" count="0" oneField="1">
      <fieldsUsage count="1">
        <fieldUsage x="0"/>
      </fieldsUsage>
    </cacheHierarchy>
    <cacheHierarchy uniqueName="[Measures].[Total Cost]" caption="Total Cost" measure="1" displayFolder="" measureGroup="Sales_Data" count="0"/>
    <cacheHierarchy uniqueName="[Measures].[Profit Percentage]" caption="Profit Percentag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7.937858912039" createdVersion="5" refreshedVersion="8" minRefreshableVersion="3" recordCount="0" supportSubquery="1" supportAdvancedDrill="1" xr:uid="{8DA57F13-0EEA-45E4-A1C0-C9146AB5787A}">
  <cacheSource type="external" connectionId="4"/>
  <cacheFields count="2">
    <cacheField name="[Measures].[Average Sales per Order]" caption="Average Sales per Order" numFmtId="0" hierarchy="13" level="32767"/>
    <cacheField name="[Sales_Data].[Region].[Region]" caption="Region" numFmtId="0" hierarchy="2" level="1">
      <sharedItems containsSemiMixedTypes="0" containsNonDate="0" containsString="0"/>
    </cacheField>
  </cacheFields>
  <cacheHierarchies count="19">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Customer]" caption="Customer" attribute="1" defaultMemberUniqueName="[Sales_Data].[Customer].[All]" allUniqueName="[Sales_Data].[Customer].[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caption="Cost" attribute="1" defaultMemberUniqueName="[Sales_Data].[Cost].[All]" allUniqueName="[Sales_Data].[Cost].[All]" dimensionUniqueName="[Sales_Data]" displayFolder="" count="0" memberValueDatatype="20" unbalanced="0"/>
    <cacheHierarchy uniqueName="[Sales_Data].[Profit]" caption="Profit" attribute="1" defaultMemberUniqueName="[Sales_Data].[Profit].[All]" allUniqueName="[Sales_Data].[Profit].[All]" dimensionUniqueName="[Sales_Data]" displayFolder="" count="0" memberValueDatatype="20" unbalanced="0"/>
    <cacheHierarchy uniqueName="[Measures].[Count of Region]" caption="Count of Region" measure="1" displayFolder="" measureGroup="Sales_Data" count="0">
      <extLst>
        <ext xmlns:x15="http://schemas.microsoft.com/office/spreadsheetml/2010/11/main" uri="{B97F6D7D-B522-45F9-BDA1-12C45D357490}">
          <x15:cacheHierarchy aggregatedColumn="2"/>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8"/>
        </ext>
      </extLst>
    </cacheHierarchy>
    <cacheHierarchy uniqueName="[Measures].[Total Sales]" caption="Total Sales" measure="1" displayFolder="" measureGroup="Sales_Data" count="0"/>
    <cacheHierarchy uniqueName="[Measures].[Total Quantity]" caption="Total Quantity" measure="1" displayFolder="" measureGroup="Sales_Data" count="0"/>
    <cacheHierarchy uniqueName="[Measures].[Average Sales per Order]" caption="Average Sales per Order" measure="1" displayFolder="" measureGroup="Sales_Data" count="0" oneField="1">
      <fieldsUsage count="1">
        <fieldUsage x="0"/>
      </fieldsUsage>
    </cacheHierarchy>
    <cacheHierarchy uniqueName="[Measures].[Total Profit]" caption="Total Profit" measure="1" displayFolder="" measureGroup="Sales_Data" count="0"/>
    <cacheHierarchy uniqueName="[Measures].[Total Cost]" caption="Total Cost" measure="1" displayFolder="" measureGroup="Sales_Data" count="0"/>
    <cacheHierarchy uniqueName="[Measures].[Profit Percentage]" caption="Profit Percentag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7.937859027777" createdVersion="5" refreshedVersion="8" minRefreshableVersion="3" recordCount="0" supportSubquery="1" supportAdvancedDrill="1" xr:uid="{38D9830F-74FD-41FC-B178-DDFB8F0F6BCE}">
  <cacheSource type="external" connectionId="4"/>
  <cacheFields count="2">
    <cacheField name="[Measures].[Total Quantity]" caption="Total Quantity" numFmtId="0" hierarchy="12" level="32767"/>
    <cacheField name="[Sales_Data].[Region].[Region]" caption="Region" numFmtId="0" hierarchy="2" level="1">
      <sharedItems containsSemiMixedTypes="0" containsNonDate="0" containsString="0"/>
    </cacheField>
  </cacheFields>
  <cacheHierarchies count="19">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Customer]" caption="Customer" attribute="1" defaultMemberUniqueName="[Sales_Data].[Customer].[All]" allUniqueName="[Sales_Data].[Customer].[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caption="Cost" attribute="1" defaultMemberUniqueName="[Sales_Data].[Cost].[All]" allUniqueName="[Sales_Data].[Cost].[All]" dimensionUniqueName="[Sales_Data]" displayFolder="" count="0" memberValueDatatype="20" unbalanced="0"/>
    <cacheHierarchy uniqueName="[Sales_Data].[Profit]" caption="Profit" attribute="1" defaultMemberUniqueName="[Sales_Data].[Profit].[All]" allUniqueName="[Sales_Data].[Profit].[All]" dimensionUniqueName="[Sales_Data]" displayFolder="" count="0" memberValueDatatype="20" unbalanced="0"/>
    <cacheHierarchy uniqueName="[Measures].[Count of Region]" caption="Count of Region" measure="1" displayFolder="" measureGroup="Sales_Data" count="0">
      <extLst>
        <ext xmlns:x15="http://schemas.microsoft.com/office/spreadsheetml/2010/11/main" uri="{B97F6D7D-B522-45F9-BDA1-12C45D357490}">
          <x15:cacheHierarchy aggregatedColumn="2"/>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8"/>
        </ext>
      </extLst>
    </cacheHierarchy>
    <cacheHierarchy uniqueName="[Measures].[Total Sales]" caption="Total Sales" measure="1" displayFolder="" measureGroup="Sales_Data" count="0"/>
    <cacheHierarchy uniqueName="[Measures].[Total Quantity]" caption="Total Quantity" measure="1" displayFolder="" measureGroup="Sales_Data" count="0" oneField="1">
      <fieldsUsage count="1">
        <fieldUsage x="0"/>
      </fieldsUsage>
    </cacheHierarchy>
    <cacheHierarchy uniqueName="[Measures].[Average Sales per Order]" caption="Average Sales per Order" measure="1" displayFolder="" measureGroup="Sales_Data" count="0"/>
    <cacheHierarchy uniqueName="[Measures].[Total Profit]" caption="Total Profit" measure="1" displayFolder="" measureGroup="Sales_Data" count="0"/>
    <cacheHierarchy uniqueName="[Measures].[Total Cost]" caption="Total Cost" measure="1" displayFolder="" measureGroup="Sales_Data" count="0"/>
    <cacheHierarchy uniqueName="[Measures].[Profit Percentage]" caption="Profit Percentag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7.937859027777" createdVersion="5" refreshedVersion="8" minRefreshableVersion="3" recordCount="0" supportSubquery="1" supportAdvancedDrill="1" xr:uid="{F04CD7BE-5384-4383-86BD-F4703DE2475A}">
  <cacheSource type="external" connectionId="4"/>
  <cacheFields count="2">
    <cacheField name="[Measures].[Total Sales]" caption="Total Sales" numFmtId="0" hierarchy="11" level="32767"/>
    <cacheField name="[Sales_Data].[Region].[Region]" caption="Region" numFmtId="0" hierarchy="2" level="1">
      <sharedItems containsSemiMixedTypes="0" containsNonDate="0" containsString="0"/>
    </cacheField>
  </cacheFields>
  <cacheHierarchies count="19">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Customer]" caption="Customer" attribute="1" defaultMemberUniqueName="[Sales_Data].[Customer].[All]" allUniqueName="[Sales_Data].[Customer].[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caption="Cost" attribute="1" defaultMemberUniqueName="[Sales_Data].[Cost].[All]" allUniqueName="[Sales_Data].[Cost].[All]" dimensionUniqueName="[Sales_Data]" displayFolder="" count="0" memberValueDatatype="20" unbalanced="0"/>
    <cacheHierarchy uniqueName="[Sales_Data].[Profit]" caption="Profit" attribute="1" defaultMemberUniqueName="[Sales_Data].[Profit].[All]" allUniqueName="[Sales_Data].[Profit].[All]" dimensionUniqueName="[Sales_Data]" displayFolder="" count="0" memberValueDatatype="20" unbalanced="0"/>
    <cacheHierarchy uniqueName="[Measures].[Count of Region]" caption="Count of Region" measure="1" displayFolder="" measureGroup="Sales_Data" count="0">
      <extLst>
        <ext xmlns:x15="http://schemas.microsoft.com/office/spreadsheetml/2010/11/main" uri="{B97F6D7D-B522-45F9-BDA1-12C45D357490}">
          <x15:cacheHierarchy aggregatedColumn="2"/>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8"/>
        </ext>
      </extLst>
    </cacheHierarchy>
    <cacheHierarchy uniqueName="[Measures].[Total Sales]" caption="Total Sales" measure="1" displayFolder="" measureGroup="Sales_Data" count="0" oneField="1">
      <fieldsUsage count="1">
        <fieldUsage x="0"/>
      </fieldsUsage>
    </cacheHierarchy>
    <cacheHierarchy uniqueName="[Measures].[Total Quantity]" caption="Total Quantity" measure="1" displayFolder="" measureGroup="Sales_Data" count="0"/>
    <cacheHierarchy uniqueName="[Measures].[Average Sales per Order]" caption="Average Sales per Order" measure="1" displayFolder="" measureGroup="Sales_Data" count="0"/>
    <cacheHierarchy uniqueName="[Measures].[Total Profit]" caption="Total Profit" measure="1" displayFolder="" measureGroup="Sales_Data" count="0"/>
    <cacheHierarchy uniqueName="[Measures].[Total Cost]" caption="Total Cost" measure="1" displayFolder="" measureGroup="Sales_Data" count="0"/>
    <cacheHierarchy uniqueName="[Measures].[Profit Percentage]" caption="Profit Percentag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7.937859143516" createdVersion="5" refreshedVersion="8" minRefreshableVersion="3" recordCount="0" supportSubquery="1" supportAdvancedDrill="1" xr:uid="{C1CE614E-B2C0-41F6-9CEF-9E6A129BA460}">
  <cacheSource type="external" connectionId="4"/>
  <cacheFields count="2">
    <cacheField name="[Measures].[Profit Percentage]" caption="Profit Percentage" numFmtId="0" hierarchy="16" level="32767"/>
    <cacheField name="[Sales_Data].[Region].[Region]" caption="Region" numFmtId="0" hierarchy="2" level="1">
      <sharedItems containsSemiMixedTypes="0" containsNonDate="0" containsString="0"/>
    </cacheField>
  </cacheFields>
  <cacheHierarchies count="19">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Customer]" caption="Customer" attribute="1" defaultMemberUniqueName="[Sales_Data].[Customer].[All]" allUniqueName="[Sales_Data].[Customer].[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caption="Cost" attribute="1" defaultMemberUniqueName="[Sales_Data].[Cost].[All]" allUniqueName="[Sales_Data].[Cost].[All]" dimensionUniqueName="[Sales_Data]" displayFolder="" count="0" memberValueDatatype="20" unbalanced="0"/>
    <cacheHierarchy uniqueName="[Sales_Data].[Profit]" caption="Profit" attribute="1" defaultMemberUniqueName="[Sales_Data].[Profit].[All]" allUniqueName="[Sales_Data].[Profit].[All]" dimensionUniqueName="[Sales_Data]" displayFolder="" count="0" memberValueDatatype="20" unbalanced="0"/>
    <cacheHierarchy uniqueName="[Measures].[Count of Region]" caption="Count of Region" measure="1" displayFolder="" measureGroup="Sales_Data" count="0">
      <extLst>
        <ext xmlns:x15="http://schemas.microsoft.com/office/spreadsheetml/2010/11/main" uri="{B97F6D7D-B522-45F9-BDA1-12C45D357490}">
          <x15:cacheHierarchy aggregatedColumn="2"/>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8"/>
        </ext>
      </extLst>
    </cacheHierarchy>
    <cacheHierarchy uniqueName="[Measures].[Total Sales]" caption="Total Sales" measure="1" displayFolder="" measureGroup="Sales_Data" count="0"/>
    <cacheHierarchy uniqueName="[Measures].[Total Quantity]" caption="Total Quantity" measure="1" displayFolder="" measureGroup="Sales_Data" count="0"/>
    <cacheHierarchy uniqueName="[Measures].[Average Sales per Order]" caption="Average Sales per Order" measure="1" displayFolder="" measureGroup="Sales_Data" count="0"/>
    <cacheHierarchy uniqueName="[Measures].[Total Profit]" caption="Total Profit" measure="1" displayFolder="" measureGroup="Sales_Data" count="0"/>
    <cacheHierarchy uniqueName="[Measures].[Total Cost]" caption="Total Cost" measure="1" displayFolder="" measureGroup="Sales_Data" count="0"/>
    <cacheHierarchy uniqueName="[Measures].[Profit Percentage]" caption="Profit Percentage" measure="1" displayFolder="" measureGroup="Sales_Data" count="0" oneField="1">
      <fieldsUsage count="1">
        <fieldUsage x="0"/>
      </fieldsUsage>
    </cacheHierarchy>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7.937859143516" createdVersion="5" refreshedVersion="8" minRefreshableVersion="3" recordCount="0" supportSubquery="1" supportAdvancedDrill="1" xr:uid="{FDC4E25E-0C40-47F2-A734-797CAA92A3EC}">
  <cacheSource type="external" connectionId="4"/>
  <cacheFields count="2">
    <cacheField name="[Measures].[Total Cost]" caption="Total Cost" numFmtId="0" hierarchy="15" level="32767"/>
    <cacheField name="[Sales_Data].[Region].[Region]" caption="Region" numFmtId="0" hierarchy="2" level="1">
      <sharedItems containsSemiMixedTypes="0" containsNonDate="0" containsString="0"/>
    </cacheField>
  </cacheFields>
  <cacheHierarchies count="19">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Customer]" caption="Customer" attribute="1" defaultMemberUniqueName="[Sales_Data].[Customer].[All]" allUniqueName="[Sales_Data].[Customer].[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caption="Cost" attribute="1" defaultMemberUniqueName="[Sales_Data].[Cost].[All]" allUniqueName="[Sales_Data].[Cost].[All]" dimensionUniqueName="[Sales_Data]" displayFolder="" count="0" memberValueDatatype="20" unbalanced="0"/>
    <cacheHierarchy uniqueName="[Sales_Data].[Profit]" caption="Profit" attribute="1" defaultMemberUniqueName="[Sales_Data].[Profit].[All]" allUniqueName="[Sales_Data].[Profit].[All]" dimensionUniqueName="[Sales_Data]" displayFolder="" count="0" memberValueDatatype="20" unbalanced="0"/>
    <cacheHierarchy uniqueName="[Measures].[Count of Region]" caption="Count of Region" measure="1" displayFolder="" measureGroup="Sales_Data" count="0">
      <extLst>
        <ext xmlns:x15="http://schemas.microsoft.com/office/spreadsheetml/2010/11/main" uri="{B97F6D7D-B522-45F9-BDA1-12C45D357490}">
          <x15:cacheHierarchy aggregatedColumn="2"/>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8"/>
        </ext>
      </extLst>
    </cacheHierarchy>
    <cacheHierarchy uniqueName="[Measures].[Total Sales]" caption="Total Sales" measure="1" displayFolder="" measureGroup="Sales_Data" count="0"/>
    <cacheHierarchy uniqueName="[Measures].[Total Quantity]" caption="Total Quantity" measure="1" displayFolder="" measureGroup="Sales_Data" count="0"/>
    <cacheHierarchy uniqueName="[Measures].[Average Sales per Order]" caption="Average Sales per Order" measure="1" displayFolder="" measureGroup="Sales_Data" count="0"/>
    <cacheHierarchy uniqueName="[Measures].[Total Profit]" caption="Total Profit" measure="1" displayFolder="" measureGroup="Sales_Data" count="0"/>
    <cacheHierarchy uniqueName="[Measures].[Total Cost]" caption="Total Cost" measure="1" displayFolder="" measureGroup="Sales_Data" count="0" oneField="1">
      <fieldsUsage count="1">
        <fieldUsage x="0"/>
      </fieldsUsage>
    </cacheHierarchy>
    <cacheHierarchy uniqueName="[Measures].[Profit Percentage]" caption="Profit Percentag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ORD-1001"/>
    <x v="0"/>
    <x v="0"/>
    <x v="0"/>
    <x v="0"/>
    <n v="2"/>
    <x v="0"/>
    <n v="135000"/>
    <n v="45000"/>
  </r>
  <r>
    <s v="ORD-1002"/>
    <x v="1"/>
    <x v="1"/>
    <x v="1"/>
    <x v="1"/>
    <n v="3"/>
    <x v="1"/>
    <n v="67500"/>
    <n v="22500"/>
  </r>
  <r>
    <s v="ORD-1003"/>
    <x v="2"/>
    <x v="0"/>
    <x v="2"/>
    <x v="2"/>
    <n v="5"/>
    <x v="2"/>
    <n v="18750"/>
    <n v="6250"/>
  </r>
  <r>
    <s v="ORD-1004"/>
    <x v="3"/>
    <x v="2"/>
    <x v="3"/>
    <x v="3"/>
    <n v="8"/>
    <x v="3"/>
    <n v="12000"/>
    <n v="4000"/>
  </r>
  <r>
    <s v="ORD-1005"/>
    <x v="4"/>
    <x v="3"/>
    <x v="4"/>
    <x v="0"/>
    <n v="1"/>
    <x v="1"/>
    <n v="67500"/>
    <n v="22500"/>
  </r>
  <r>
    <s v="ORD-1006"/>
    <x v="5"/>
    <x v="4"/>
    <x v="5"/>
    <x v="1"/>
    <n v="2"/>
    <x v="4"/>
    <n v="45000"/>
    <n v="15000"/>
  </r>
  <r>
    <s v="ORD-1007"/>
    <x v="6"/>
    <x v="0"/>
    <x v="6"/>
    <x v="4"/>
    <n v="6"/>
    <x v="5"/>
    <n v="22500"/>
    <n v="7500"/>
  </r>
  <r>
    <s v="ORD-1008"/>
    <x v="7"/>
    <x v="1"/>
    <x v="7"/>
    <x v="5"/>
    <n v="2"/>
    <x v="6"/>
    <n v="37500"/>
    <n v="12500"/>
  </r>
  <r>
    <s v="ORD-1009"/>
    <x v="8"/>
    <x v="2"/>
    <x v="8"/>
    <x v="2"/>
    <n v="4"/>
    <x v="7"/>
    <n v="15000"/>
    <n v="5000"/>
  </r>
  <r>
    <s v="ORD-1010"/>
    <x v="9"/>
    <x v="3"/>
    <x v="9"/>
    <x v="3"/>
    <n v="10"/>
    <x v="7"/>
    <n v="15000"/>
    <n v="5000"/>
  </r>
  <r>
    <s v="ORD-1011"/>
    <x v="10"/>
    <x v="0"/>
    <x v="10"/>
    <x v="0"/>
    <n v="2"/>
    <x v="8"/>
    <n v="142500"/>
    <n v="47500"/>
  </r>
  <r>
    <s v="ORD-1012"/>
    <x v="11"/>
    <x v="4"/>
    <x v="11"/>
    <x v="1"/>
    <n v="4"/>
    <x v="9"/>
    <n v="90000"/>
    <n v="30000"/>
  </r>
  <r>
    <s v="ORD-1013"/>
    <x v="12"/>
    <x v="1"/>
    <x v="12"/>
    <x v="4"/>
    <n v="5"/>
    <x v="10"/>
    <n v="20625"/>
    <n v="6875"/>
  </r>
  <r>
    <s v="ORD-1014"/>
    <x v="13"/>
    <x v="0"/>
    <x v="13"/>
    <x v="5"/>
    <n v="1"/>
    <x v="11"/>
    <n v="21000"/>
    <n v="7000"/>
  </r>
  <r>
    <s v="ORD-1015"/>
    <x v="14"/>
    <x v="2"/>
    <x v="14"/>
    <x v="2"/>
    <n v="7"/>
    <x v="12"/>
    <n v="26250"/>
    <n v="8750"/>
  </r>
  <r>
    <s v="ORD-1016"/>
    <x v="15"/>
    <x v="3"/>
    <x v="15"/>
    <x v="3"/>
    <n v="12"/>
    <x v="13"/>
    <n v="18000"/>
    <n v="6000"/>
  </r>
  <r>
    <s v="ORD-1017"/>
    <x v="16"/>
    <x v="4"/>
    <x v="16"/>
    <x v="0"/>
    <n v="1"/>
    <x v="14"/>
    <n v="71250"/>
    <n v="23750"/>
  </r>
  <r>
    <s v="ORD-1018"/>
    <x v="17"/>
    <x v="0"/>
    <x v="17"/>
    <x v="1"/>
    <n v="3"/>
    <x v="15"/>
    <n v="69750"/>
    <n v="23250"/>
  </r>
  <r>
    <s v="ORD-1019"/>
    <x v="18"/>
    <x v="1"/>
    <x v="18"/>
    <x v="5"/>
    <n v="2"/>
    <x v="16"/>
    <n v="39000"/>
    <n v="13000"/>
  </r>
  <r>
    <s v="ORD-1020"/>
    <x v="19"/>
    <x v="2"/>
    <x v="19"/>
    <x v="4"/>
    <n v="8"/>
    <x v="17"/>
    <n v="33000"/>
    <n v="11000"/>
  </r>
  <r>
    <s v="ORD-1001"/>
    <x v="0"/>
    <x v="0"/>
    <x v="0"/>
    <x v="0"/>
    <n v="1"/>
    <x v="18"/>
    <n v="69000"/>
    <n v="23000"/>
  </r>
  <r>
    <s v="ORD-1002"/>
    <x v="1"/>
    <x v="1"/>
    <x v="1"/>
    <x v="1"/>
    <n v="2"/>
    <x v="19"/>
    <n v="46500"/>
    <n v="15500"/>
  </r>
  <r>
    <s v="ORD-1003"/>
    <x v="2"/>
    <x v="0"/>
    <x v="2"/>
    <x v="2"/>
    <n v="3"/>
    <x v="20"/>
    <n v="12375"/>
    <n v="4125"/>
  </r>
  <r>
    <s v="ORD-1004"/>
    <x v="3"/>
    <x v="2"/>
    <x v="3"/>
    <x v="3"/>
    <n v="5"/>
    <x v="21"/>
    <n v="7875"/>
    <n v="2625"/>
  </r>
  <r>
    <s v="ORD-1005"/>
    <x v="4"/>
    <x v="3"/>
    <x v="4"/>
    <x v="0"/>
    <n v="2"/>
    <x v="22"/>
    <n v="138750"/>
    <n v="46250"/>
  </r>
  <r>
    <s v="ORD-1006"/>
    <x v="5"/>
    <x v="4"/>
    <x v="5"/>
    <x v="1"/>
    <n v="1"/>
    <x v="23"/>
    <n v="23250"/>
    <n v="7750"/>
  </r>
  <r>
    <s v="ORD-1007"/>
    <x v="6"/>
    <x v="0"/>
    <x v="6"/>
    <x v="4"/>
    <n v="4"/>
    <x v="24"/>
    <n v="16500"/>
    <n v="5500"/>
  </r>
  <r>
    <s v="ORD-1008"/>
    <x v="7"/>
    <x v="1"/>
    <x v="7"/>
    <x v="5"/>
    <n v="3"/>
    <x v="25"/>
    <n v="58500"/>
    <n v="19500"/>
  </r>
  <r>
    <s v="ORD-1009"/>
    <x v="8"/>
    <x v="2"/>
    <x v="8"/>
    <x v="2"/>
    <n v="6"/>
    <x v="26"/>
    <n v="24750"/>
    <n v="8250"/>
  </r>
  <r>
    <s v="ORD-1010"/>
    <x v="9"/>
    <x v="3"/>
    <x v="9"/>
    <x v="3"/>
    <n v="7"/>
    <x v="27"/>
    <n v="11025"/>
    <n v="3675"/>
  </r>
  <r>
    <s v="ORD-1011"/>
    <x v="10"/>
    <x v="0"/>
    <x v="10"/>
    <x v="0"/>
    <n v="1"/>
    <x v="28"/>
    <n v="72750"/>
    <n v="24250"/>
  </r>
  <r>
    <s v="ORD-1012"/>
    <x v="11"/>
    <x v="4"/>
    <x v="11"/>
    <x v="1"/>
    <n v="2"/>
    <x v="29"/>
    <n v="45750"/>
    <n v="15250"/>
  </r>
  <r>
    <s v="ORD-1013"/>
    <x v="12"/>
    <x v="1"/>
    <x v="12"/>
    <x v="4"/>
    <n v="7"/>
    <x v="30"/>
    <n v="28875"/>
    <n v="9625"/>
  </r>
  <r>
    <s v="ORD-1014"/>
    <x v="13"/>
    <x v="0"/>
    <x v="13"/>
    <x v="5"/>
    <n v="2"/>
    <x v="31"/>
    <n v="42750"/>
    <n v="14250"/>
  </r>
  <r>
    <s v="ORD-1015"/>
    <x v="14"/>
    <x v="2"/>
    <x v="14"/>
    <x v="2"/>
    <n v="5"/>
    <x v="32"/>
    <n v="20250"/>
    <n v="6750"/>
  </r>
  <r>
    <s v="ORD-1016"/>
    <x v="15"/>
    <x v="3"/>
    <x v="15"/>
    <x v="3"/>
    <n v="9"/>
    <x v="33"/>
    <n v="14850"/>
    <n v="4950"/>
  </r>
  <r>
    <s v="ORD-1017"/>
    <x v="16"/>
    <x v="4"/>
    <x v="16"/>
    <x v="0"/>
    <n v="2"/>
    <x v="34"/>
    <n v="144000"/>
    <n v="48000"/>
  </r>
  <r>
    <s v="ORD-1018"/>
    <x v="17"/>
    <x v="0"/>
    <x v="17"/>
    <x v="1"/>
    <n v="1"/>
    <x v="35"/>
    <n v="23625"/>
    <n v="7875"/>
  </r>
  <r>
    <s v="ORD-1019"/>
    <x v="18"/>
    <x v="1"/>
    <x v="18"/>
    <x v="5"/>
    <n v="4"/>
    <x v="36"/>
    <n v="79500"/>
    <n v="26500"/>
  </r>
  <r>
    <s v="ORD-1020"/>
    <x v="19"/>
    <x v="2"/>
    <x v="19"/>
    <x v="4"/>
    <n v="5"/>
    <x v="11"/>
    <n v="21000"/>
    <n v="7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8C974D-D4DE-4F78-88E1-E3288435112B}" name="KPI_Dynamic"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Region">
  <location ref="G47:K48" firstHeaderRow="0" firstDataRow="1" firstDataCol="0"/>
  <pivotFields count="11">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items count="6">
        <item x="1"/>
        <item x="0"/>
        <item x="4"/>
        <item x="3"/>
        <item x="2"/>
        <item t="default"/>
      </items>
    </pivotField>
    <pivotField showAll="0">
      <items count="21">
        <item x="12"/>
        <item x="9"/>
        <item x="6"/>
        <item x="10"/>
        <item x="7"/>
        <item x="2"/>
        <item x="18"/>
        <item x="14"/>
        <item x="5"/>
        <item x="15"/>
        <item x="1"/>
        <item x="19"/>
        <item x="13"/>
        <item x="0"/>
        <item x="3"/>
        <item x="8"/>
        <item x="16"/>
        <item x="11"/>
        <item x="17"/>
        <item x="4"/>
        <item t="default"/>
      </items>
    </pivotField>
    <pivotField showAll="0">
      <items count="7">
        <item x="4"/>
        <item x="2"/>
        <item x="0"/>
        <item x="1"/>
        <item x="3"/>
        <item x="5"/>
        <item t="default"/>
      </items>
    </pivotField>
    <pivotField dataField="1" showAll="0"/>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Total Sales" fld="6" baseField="0" baseItem="1"/>
    <dataField name="Total Cost" fld="7" baseField="0" baseItem="1"/>
    <dataField name="Total Quantity" fld="5" baseField="0" baseItem="2"/>
    <dataField name="Average of Sales Amount" fld="6" subtotal="average" baseField="0" baseItem="2"/>
    <dataField name="Total Profit" fld="8" baseField="0" baseItem="4"/>
  </dataFields>
  <formats count="5">
    <format dxfId="506">
      <pivotArea type="all" dataOnly="0" outline="0" fieldPosition="0"/>
    </format>
    <format dxfId="507">
      <pivotArea outline="0" collapsedLevelsAreSubtotals="1" fieldPosition="0"/>
    </format>
    <format dxfId="508">
      <pivotArea field="2" type="button" dataOnly="0" labelOnly="1" outline="0"/>
    </format>
    <format dxfId="509">
      <pivotArea dataOnly="0" labelOnly="1" grandRow="1" outline="0" fieldPosition="0"/>
    </format>
    <format dxfId="5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DE0686-EDB3-4085-9CC6-2F7E785C127F}" name="PivotTable6"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Order Date ">
  <location ref="E29:F34" firstHeaderRow="1" firstDataRow="1" firstDataCol="1"/>
  <pivotFields count="11">
    <pivotField showAll="0"/>
    <pivotField axis="axisRow" numFmtId="14" showAll="0">
      <items count="21">
        <item sd="0" x="0"/>
        <item sd="0" x="1"/>
        <item sd="0" x="2"/>
        <item sd="0" x="3"/>
        <item x="4"/>
        <item x="5"/>
        <item x="6"/>
        <item x="7"/>
        <item x="8"/>
        <item x="9"/>
        <item x="10"/>
        <item x="11"/>
        <item x="12"/>
        <item x="13"/>
        <item x="14"/>
        <item x="15"/>
        <item x="16"/>
        <item x="17"/>
        <item x="18"/>
        <item x="19"/>
        <item t="default"/>
      </items>
    </pivotField>
    <pivotField showAll="0">
      <items count="6">
        <item x="1"/>
        <item x="0"/>
        <item x="4"/>
        <item x="3"/>
        <item x="2"/>
        <item t="default"/>
      </items>
    </pivotField>
    <pivotField showAll="0">
      <items count="21">
        <item x="12"/>
        <item x="9"/>
        <item x="6"/>
        <item x="10"/>
        <item x="7"/>
        <item x="2"/>
        <item x="18"/>
        <item x="14"/>
        <item x="5"/>
        <item x="15"/>
        <item x="1"/>
        <item x="19"/>
        <item x="13"/>
        <item x="0"/>
        <item x="3"/>
        <item x="8"/>
        <item x="16"/>
        <item x="11"/>
        <item x="17"/>
        <item x="4"/>
        <item t="default"/>
      </items>
    </pivotField>
    <pivotField showAll="0">
      <items count="7">
        <item x="4"/>
        <item x="2"/>
        <item x="0"/>
        <item x="1"/>
        <item x="3"/>
        <item x="5"/>
        <item t="default"/>
      </items>
    </pivotField>
    <pivotField showAll="0"/>
    <pivotField dataField="1" showAll="0">
      <items count="38">
        <item x="21"/>
        <item x="27"/>
        <item x="3"/>
        <item x="20"/>
        <item x="33"/>
        <item x="7"/>
        <item x="24"/>
        <item x="13"/>
        <item x="2"/>
        <item x="32"/>
        <item x="10"/>
        <item x="11"/>
        <item x="5"/>
        <item x="23"/>
        <item x="35"/>
        <item x="26"/>
        <item x="12"/>
        <item x="30"/>
        <item x="17"/>
        <item x="6"/>
        <item x="16"/>
        <item x="31"/>
        <item x="4"/>
        <item x="29"/>
        <item x="19"/>
        <item x="25"/>
        <item x="1"/>
        <item x="18"/>
        <item x="15"/>
        <item x="14"/>
        <item x="28"/>
        <item x="36"/>
        <item x="9"/>
        <item x="0"/>
        <item x="22"/>
        <item x="8"/>
        <item x="34"/>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1"/>
  </rowFields>
  <rowItems count="5">
    <i>
      <x v="1"/>
    </i>
    <i>
      <x v="2"/>
    </i>
    <i>
      <x v="3"/>
    </i>
    <i>
      <x v="4"/>
    </i>
    <i t="grand">
      <x/>
    </i>
  </rowItems>
  <colItems count="1">
    <i/>
  </colItems>
  <dataFields count="1">
    <dataField name="Sum of Sales Amount"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0B3B28-7D14-4258-9965-92A19518643A}" name="PivotTable5"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Customer">
  <location ref="A17:B38" firstHeaderRow="1" firstDataRow="1" firstDataCol="1"/>
  <pivotFields count="11">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items count="6">
        <item x="1"/>
        <item x="0"/>
        <item x="4"/>
        <item x="3"/>
        <item x="2"/>
        <item t="default"/>
      </items>
    </pivotField>
    <pivotField axis="axisRow" showAll="0">
      <items count="21">
        <item x="12"/>
        <item x="9"/>
        <item x="6"/>
        <item x="10"/>
        <item x="7"/>
        <item x="2"/>
        <item x="18"/>
        <item x="14"/>
        <item x="5"/>
        <item x="15"/>
        <item x="1"/>
        <item x="19"/>
        <item x="13"/>
        <item x="0"/>
        <item x="3"/>
        <item x="8"/>
        <item x="16"/>
        <item x="11"/>
        <item x="17"/>
        <item x="4"/>
        <item t="default"/>
      </items>
    </pivotField>
    <pivotField showAll="0">
      <items count="7">
        <item x="4"/>
        <item x="2"/>
        <item x="0"/>
        <item x="1"/>
        <item x="3"/>
        <item x="5"/>
        <item t="default"/>
      </items>
    </pivotField>
    <pivotField showAll="0"/>
    <pivotField dataField="1" showAll="0">
      <items count="38">
        <item x="21"/>
        <item x="27"/>
        <item x="3"/>
        <item x="20"/>
        <item x="33"/>
        <item x="7"/>
        <item x="24"/>
        <item x="13"/>
        <item x="2"/>
        <item x="32"/>
        <item x="10"/>
        <item x="11"/>
        <item x="5"/>
        <item x="23"/>
        <item x="35"/>
        <item x="26"/>
        <item x="12"/>
        <item x="30"/>
        <item x="17"/>
        <item x="6"/>
        <item x="16"/>
        <item x="31"/>
        <item x="4"/>
        <item x="29"/>
        <item x="19"/>
        <item x="25"/>
        <item x="1"/>
        <item x="18"/>
        <item x="15"/>
        <item x="14"/>
        <item x="28"/>
        <item x="36"/>
        <item x="9"/>
        <item x="0"/>
        <item x="22"/>
        <item x="8"/>
        <item x="3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Amount" fld="6" baseField="0" baseItem="0"/>
  </dataFields>
  <formats count="6">
    <format dxfId="511">
      <pivotArea type="all" dataOnly="0" outline="0" fieldPosition="0"/>
    </format>
    <format dxfId="512">
      <pivotArea outline="0" collapsedLevelsAreSubtotals="1" fieldPosition="0"/>
    </format>
    <format dxfId="513">
      <pivotArea field="3" type="button" dataOnly="0" labelOnly="1" outline="0" axis="axisRow" fieldPosition="0"/>
    </format>
    <format dxfId="514">
      <pivotArea dataOnly="0" labelOnly="1" fieldPosition="0">
        <references count="1">
          <reference field="3" count="0"/>
        </references>
      </pivotArea>
    </format>
    <format dxfId="515">
      <pivotArea dataOnly="0" labelOnly="1" grandRow="1" outline="0" fieldPosition="0"/>
    </format>
    <format dxfId="51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B7182F-2950-4B61-800F-C3190BF384BF}" name="PivotTable4"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Product">
  <location ref="E17:F24" firstHeaderRow="1" firstDataRow="1" firstDataCol="1"/>
  <pivotFields count="11">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items count="6">
        <item x="1"/>
        <item x="0"/>
        <item x="4"/>
        <item x="3"/>
        <item x="2"/>
        <item t="default"/>
      </items>
    </pivotField>
    <pivotField showAll="0">
      <items count="21">
        <item x="12"/>
        <item x="9"/>
        <item x="6"/>
        <item x="10"/>
        <item x="7"/>
        <item x="2"/>
        <item x="18"/>
        <item x="14"/>
        <item x="5"/>
        <item x="15"/>
        <item x="1"/>
        <item x="19"/>
        <item x="13"/>
        <item x="0"/>
        <item x="3"/>
        <item x="8"/>
        <item x="16"/>
        <item x="11"/>
        <item x="17"/>
        <item x="4"/>
        <item t="default"/>
      </items>
    </pivotField>
    <pivotField axis="axisRow" showAll="0">
      <items count="7">
        <item x="4"/>
        <item x="2"/>
        <item x="0"/>
        <item x="1"/>
        <item x="3"/>
        <item x="5"/>
        <item t="default"/>
      </items>
    </pivotField>
    <pivotField showAll="0"/>
    <pivotField dataField="1" showAll="0">
      <items count="38">
        <item x="21"/>
        <item x="27"/>
        <item x="3"/>
        <item x="20"/>
        <item x="33"/>
        <item x="7"/>
        <item x="24"/>
        <item x="13"/>
        <item x="2"/>
        <item x="32"/>
        <item x="10"/>
        <item x="11"/>
        <item x="5"/>
        <item x="23"/>
        <item x="35"/>
        <item x="26"/>
        <item x="12"/>
        <item x="30"/>
        <item x="17"/>
        <item x="6"/>
        <item x="16"/>
        <item x="31"/>
        <item x="4"/>
        <item x="29"/>
        <item x="19"/>
        <item x="25"/>
        <item x="1"/>
        <item x="18"/>
        <item x="15"/>
        <item x="14"/>
        <item x="28"/>
        <item x="36"/>
        <item x="9"/>
        <item x="0"/>
        <item x="22"/>
        <item x="8"/>
        <item x="3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Sum of Sales Amount" fld="6" baseField="0" baseItem="0"/>
  </dataFields>
  <formats count="6">
    <format dxfId="517">
      <pivotArea type="all" dataOnly="0" outline="0" fieldPosition="0"/>
    </format>
    <format dxfId="518">
      <pivotArea outline="0" collapsedLevelsAreSubtotals="1" fieldPosition="0"/>
    </format>
    <format dxfId="519">
      <pivotArea field="4" type="button" dataOnly="0" labelOnly="1" outline="0" axis="axisRow" fieldPosition="0"/>
    </format>
    <format dxfId="520">
      <pivotArea dataOnly="0" labelOnly="1" fieldPosition="0">
        <references count="1">
          <reference field="4" count="0"/>
        </references>
      </pivotArea>
    </format>
    <format dxfId="521">
      <pivotArea dataOnly="0" labelOnly="1" grandRow="1" outline="0" fieldPosition="0"/>
    </format>
    <format dxfId="522">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4" count="1" selected="0">
            <x v="0"/>
          </reference>
        </references>
      </pivotArea>
    </chartFormat>
    <chartFormat chart="13" format="10">
      <pivotArea type="data" outline="0" fieldPosition="0">
        <references count="2">
          <reference field="4294967294" count="1" selected="0">
            <x v="0"/>
          </reference>
          <reference field="4" count="1" selected="0">
            <x v="1"/>
          </reference>
        </references>
      </pivotArea>
    </chartFormat>
    <chartFormat chart="13" format="11">
      <pivotArea type="data" outline="0" fieldPosition="0">
        <references count="2">
          <reference field="4294967294" count="1" selected="0">
            <x v="0"/>
          </reference>
          <reference field="4" count="1" selected="0">
            <x v="2"/>
          </reference>
        </references>
      </pivotArea>
    </chartFormat>
    <chartFormat chart="13" format="12">
      <pivotArea type="data" outline="0" fieldPosition="0">
        <references count="2">
          <reference field="4294967294" count="1" selected="0">
            <x v="0"/>
          </reference>
          <reference field="4" count="1" selected="0">
            <x v="3"/>
          </reference>
        </references>
      </pivotArea>
    </chartFormat>
    <chartFormat chart="13" format="13">
      <pivotArea type="data" outline="0" fieldPosition="0">
        <references count="2">
          <reference field="4294967294" count="1" selected="0">
            <x v="0"/>
          </reference>
          <reference field="4" count="1" selected="0">
            <x v="4"/>
          </reference>
        </references>
      </pivotArea>
    </chartFormat>
    <chartFormat chart="13"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EE4286-ED4E-4778-8A22-8F1BDCF344E9}" name="PivotTable2"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Region">
  <location ref="A3:B9" firstHeaderRow="1" firstDataRow="1" firstDataCol="1"/>
  <pivotFields count="11">
    <pivotField showAll="0"/>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6">
        <item x="1"/>
        <item x="0"/>
        <item x="4"/>
        <item x="3"/>
        <item x="2"/>
        <item t="default"/>
      </items>
    </pivotField>
    <pivotField showAll="0">
      <items count="21">
        <item x="12"/>
        <item x="9"/>
        <item x="6"/>
        <item x="10"/>
        <item x="7"/>
        <item x="2"/>
        <item x="18"/>
        <item x="14"/>
        <item x="5"/>
        <item x="15"/>
        <item x="1"/>
        <item x="19"/>
        <item x="13"/>
        <item x="0"/>
        <item x="3"/>
        <item x="8"/>
        <item x="16"/>
        <item x="11"/>
        <item x="17"/>
        <item x="4"/>
        <item t="default"/>
      </items>
    </pivotField>
    <pivotField showAll="0">
      <items count="7">
        <item x="4"/>
        <item x="2"/>
        <item x="0"/>
        <item x="1"/>
        <item x="3"/>
        <item x="5"/>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Sales Amount" fld="6" baseField="0" baseItem="0"/>
  </dataFields>
  <formats count="6">
    <format dxfId="523">
      <pivotArea type="all" dataOnly="0" outline="0" fieldPosition="0"/>
    </format>
    <format dxfId="524">
      <pivotArea outline="0" collapsedLevelsAreSubtotals="1" fieldPosition="0"/>
    </format>
    <format dxfId="525">
      <pivotArea field="2" type="button" dataOnly="0" labelOnly="1" outline="0" axis="axisRow" fieldPosition="0"/>
    </format>
    <format dxfId="526">
      <pivotArea dataOnly="0" labelOnly="1" fieldPosition="0">
        <references count="1">
          <reference field="2" count="0"/>
        </references>
      </pivotArea>
    </format>
    <format dxfId="527">
      <pivotArea dataOnly="0" labelOnly="1" grandRow="1" outline="0" fieldPosition="0"/>
    </format>
    <format dxfId="52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6BB296-10C4-4713-B00E-5DBBAF68CE64}" name="PivotTable5" cacheId="2542" applyNumberFormats="0" applyBorderFormats="0" applyFontFormats="0" applyPatternFormats="0" applyAlignmentFormats="0" applyWidthHeightFormats="1" dataCaption="Values" tag="1508e9d5-1ca5-4005-b9af-887669dcd5f5" updatedVersion="8" minRefreshableVersion="3" useAutoFormatting="1" itemPrintTitles="1" createdVersion="5" indent="0" outline="1" outlineData="1" multipleFieldFilters="0">
  <location ref="D11:D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9">
    <pivotHierarchy dragToData="1"/>
    <pivotHierarchy dragToData="1"/>
    <pivotHierarchy multipleItemSelectionAllowed="1" dragToData="1">
      <members count="1" level="1">
        <member name="[Sales_Data].[Region].&amp;[Chattogram]"/>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D412F9-DEB0-49B2-A8D5-20EFBA72C4A9}" name="PivotTable4" cacheId="2545" applyNumberFormats="0" applyBorderFormats="0" applyFontFormats="0" applyPatternFormats="0" applyAlignmentFormats="0" applyWidthHeightFormats="1" dataCaption="Values" tag="bdc773af-ef9d-4a2a-88a0-301b5bdb88a9" updatedVersion="8" minRefreshableVersion="3" useAutoFormatting="1" itemPrintTitles="1" createdVersion="5" indent="0" outline="1" outlineData="1" multipleFieldFilters="0">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9">
    <pivotHierarchy dragToData="1"/>
    <pivotHierarchy dragToData="1"/>
    <pivotHierarchy multipleItemSelectionAllowed="1" dragToData="1">
      <members count="1" level="1">
        <member name="[Sales_Data].[Region].&amp;[Chattogram]"/>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8112BF-9FDA-4FCD-B411-F76AE0EFB860}" name="PivotTable3" cacheId="2548" applyNumberFormats="0" applyBorderFormats="0" applyFontFormats="0" applyPatternFormats="0" applyAlignmentFormats="0" applyWidthHeightFormats="1" dataCaption="Values" tag="6de494e3-220c-4996-99dc-1190de8a8a30" updatedVersion="8" minRefreshableVersion="3" useAutoFormatting="1" itemPrintTitles="1" createdVersion="5" indent="0" outline="1" outlineData="1" multipleFieldFilters="0">
  <location ref="E6:E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9">
    <pivotHierarchy dragToData="1"/>
    <pivotHierarchy dragToData="1"/>
    <pivotHierarchy multipleItemSelectionAllowed="1" dragToData="1">
      <members count="1" level="1">
        <member name="[Sales_Data].[Region].&amp;[Chattogram]"/>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60E479-BB5A-4461-982C-CE7493F7A975}" name="PivotTable1" cacheId="2551" applyNumberFormats="0" applyBorderFormats="0" applyFontFormats="0" applyPatternFormats="0" applyAlignmentFormats="0" applyWidthHeightFormats="1" dataCaption="Values" tag="3a4c59d1-56bd-4371-bda5-31a6ba236458" updatedVersion="8" minRefreshableVersion="3" useAutoFormatting="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9">
    <pivotHierarchy dragToData="1"/>
    <pivotHierarchy dragToData="1"/>
    <pivotHierarchy multipleItemSelectionAllowed="1" dragToData="1">
      <members count="1" level="1">
        <member name="[Sales_Data].[Region].&amp;[Chattogram]"/>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00CB99-29F4-4519-A793-E3B388DEB79E}" name="PivotTable7" cacheId="2554" applyNumberFormats="0" applyBorderFormats="0" applyFontFormats="0" applyPatternFormats="0" applyAlignmentFormats="0" applyWidthHeightFormats="1" dataCaption="Values" tag="ea3db4fc-a37f-4a8b-9044-1340c7ead4f6" updatedVersion="8" minRefreshableVersion="3" useAutoFormatting="1" itemPrintTitles="1" createdVersion="5" indent="0" outline="1" outlineData="1" multipleFieldFilters="0">
  <location ref="D16:D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967">
      <pivotArea outline="0" collapsedLevelsAreSubtotals="1" fieldPosition="0"/>
    </format>
  </formats>
  <pivotHierarchies count="19">
    <pivotHierarchy dragToData="1"/>
    <pivotHierarchy dragToData="1"/>
    <pivotHierarchy multipleItemSelectionAllowed="1" dragToData="1">
      <members count="1" level="1">
        <member name="[Sales_Data].[Region].&amp;[Chattogram]"/>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1C4F43-181C-44A1-B32B-A83B3F275F54}" name="PivotTable6" cacheId="2557" applyNumberFormats="0" applyBorderFormats="0" applyFontFormats="0" applyPatternFormats="0" applyAlignmentFormats="0" applyWidthHeightFormats="1" dataCaption="Values" tag="3a0772e7-0716-48ee-8666-d035e966afb4" updatedVersion="8" minRefreshableVersion="3" useAutoFormatting="1" itemPrintTitles="1" createdVersion="5" indent="0" outline="1" outlineData="1" multipleFieldFilters="0">
  <location ref="B13:B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9">
    <pivotHierarchy dragToData="1"/>
    <pivotHierarchy dragToData="1"/>
    <pivotHierarchy multipleItemSelectionAllowed="1" dragToData="1">
      <members count="1" level="1">
        <member name="[Sales_Data].[Region].&amp;[Chattogram]"/>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591B17F-F68A-4E48-A011-40DF6FEE610A}" autoFormatId="16" applyNumberFormats="0" applyBorderFormats="0" applyFontFormats="0" applyPatternFormats="0" applyAlignmentFormats="0" applyWidthHeightFormats="0">
  <queryTableRefresh nextId="10">
    <queryTableFields count="9">
      <queryTableField id="1" name="Order ID" tableColumnId="1"/>
      <queryTableField id="2" name="Order Date" tableColumnId="2"/>
      <queryTableField id="3" name="Region" tableColumnId="3"/>
      <queryTableField id="4" name="Customer" tableColumnId="4"/>
      <queryTableField id="5" name="Product" tableColumnId="5"/>
      <queryTableField id="6" name="Quantity" tableColumnId="6"/>
      <queryTableField id="7" name="Sales Amount" tableColumnId="7"/>
      <queryTableField id="8" name="Cost" tableColumnId="8"/>
      <queryTableField id="9" name="Profit"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29E2790F-D9FD-40B7-8DD1-EFA72E244357}" autoFormatId="16" applyNumberFormats="0" applyBorderFormats="0" applyFontFormats="0" applyPatternFormats="0" applyAlignmentFormats="0" applyWidthHeightFormats="0">
  <queryTableRefresh nextId="10">
    <queryTableFields count="9">
      <queryTableField id="1" name="Order ID" tableColumnId="1"/>
      <queryTableField id="2" name="Order Date" tableColumnId="2"/>
      <queryTableField id="3" name="Region" tableColumnId="3"/>
      <queryTableField id="4" name="Customer" tableColumnId="4"/>
      <queryTableField id="5" name="Product" tableColumnId="5"/>
      <queryTableField id="6" name="Quantity" tableColumnId="6"/>
      <queryTableField id="7" name="Sales Amount" tableColumnId="7"/>
      <queryTableField id="8" name="Cost" tableColumnId="8"/>
      <queryTableField id="9" name="Profit"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F9CBB152-DFCD-4CB4-A1C4-0D89BA7F097E}" autoFormatId="16" applyNumberFormats="0" applyBorderFormats="0" applyFontFormats="0" applyPatternFormats="0" applyAlignmentFormats="0" applyWidthHeightFormats="0">
  <queryTableRefresh nextId="10">
    <queryTableFields count="9">
      <queryTableField id="1" name="Order ID" tableColumnId="1"/>
      <queryTableField id="2" name="Order Date" tableColumnId="2"/>
      <queryTableField id="3" name="Region" tableColumnId="3"/>
      <queryTableField id="4" name="Customer" tableColumnId="4"/>
      <queryTableField id="5" name="Product" tableColumnId="5"/>
      <queryTableField id="6" name="Quantity" tableColumnId="6"/>
      <queryTableField id="7" name="Sales Amount" tableColumnId="7"/>
      <queryTableField id="8" name="Cost"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707DE6-E8E2-4CE4-8D7E-EBD1297C677E}" sourceName="Region">
  <pivotTables>
    <pivotTable tabId="7" name="PivotTable2"/>
    <pivotTable tabId="7" name="PivotTable4"/>
    <pivotTable tabId="7" name="PivotTable5"/>
    <pivotTable tabId="7" name="PivotTable6"/>
    <pivotTable tabId="7" name="KPI_Dynamic"/>
  </pivotTables>
  <data>
    <tabular pivotCacheId="904704526">
      <items count="5">
        <i x="1" s="1"/>
        <i x="0" s="1"/>
        <i x="4"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864476DD-4577-4478-A51C-8261920CD6BC}" sourceName="Customer">
  <pivotTables>
    <pivotTable tabId="7" name="PivotTable6"/>
    <pivotTable tabId="7" name="PivotTable2"/>
    <pivotTable tabId="7" name="PivotTable4"/>
    <pivotTable tabId="7" name="PivotTable5"/>
    <pivotTable tabId="7" name="KPI_Dynamic"/>
  </pivotTables>
  <data>
    <tabular pivotCacheId="904704526">
      <items count="20">
        <i x="12" s="1"/>
        <i x="9" s="1"/>
        <i x="6" s="1"/>
        <i x="10" s="1"/>
        <i x="7" s="1"/>
        <i x="2" s="1"/>
        <i x="18" s="1"/>
        <i x="14" s="1"/>
        <i x="5" s="1"/>
        <i x="15" s="1"/>
        <i x="1" s="1"/>
        <i x="19" s="1"/>
        <i x="13" s="1"/>
        <i x="0" s="1"/>
        <i x="3" s="1"/>
        <i x="8" s="1"/>
        <i x="16" s="1"/>
        <i x="11" s="1"/>
        <i x="17"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428291F-E480-4A3A-B3BE-5B8025CBAAC8}" sourceName="Product">
  <pivotTables>
    <pivotTable tabId="7" name="PivotTable6"/>
    <pivotTable tabId="7" name="PivotTable2"/>
    <pivotTable tabId="7" name="PivotTable4"/>
    <pivotTable tabId="7" name="PivotTable5"/>
    <pivotTable tabId="7" name="KPI_Dynamic"/>
  </pivotTables>
  <data>
    <tabular pivotCacheId="904704526">
      <items count="6">
        <i x="4" s="1"/>
        <i x="2" s="1"/>
        <i x="0"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4B81F8B-4AAF-4BD5-90EB-0178C865A843}" cache="Slicer_Region" caption="Region" rowHeight="241300"/>
  <slicer name="Customer" xr10:uid="{AAB525A6-3D3A-404C-8503-2B562228AC64}" cache="Slicer_Customer" caption="Customer" startItem="3" rowHeight="241300"/>
  <slicer name="Product" xr10:uid="{988B3305-A9E7-4F77-AF14-D348B3649A95}"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F8C2E9C-4E6A-4E83-802F-E462A318DE08}" cache="Slicer_Region" caption="Region" rowHeight="241300"/>
  <slicer name="Customer 2" xr10:uid="{23C9752E-4D64-4381-B346-D75892BF1AC4}" cache="Slicer_Customer" caption="Customer" rowHeight="241300"/>
  <slicer name="Product 2" xr10:uid="{6D6C2F0A-C565-4C1C-B630-E06450F7BAAE}" cache="Slicer_Product" caption="Produc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7C30C2-3B84-4762-95A8-8879C9E92CFD}" name="Sales_Data_1" displayName="Sales_Data_1" ref="A1:I21" tableType="queryTable" totalsRowShown="0" headerRowDxfId="1000" dataDxfId="999">
  <autoFilter ref="A1:I21" xr:uid="{447C30C2-3B84-4762-95A8-8879C9E92CFD}"/>
  <tableColumns count="9">
    <tableColumn id="1" xr3:uid="{4DD49A54-CC63-40DD-9E3D-F4BFA386337A}" uniqueName="1" name="Order ID" queryTableFieldId="1" dataDxfId="998"/>
    <tableColumn id="2" xr3:uid="{639968B4-97AC-4626-8094-2184C884BD9B}" uniqueName="2" name="Order Date" queryTableFieldId="2" dataDxfId="997"/>
    <tableColumn id="3" xr3:uid="{587B56E3-F2DC-4E09-9724-05E8771C185D}" uniqueName="3" name="Region" queryTableFieldId="3" dataDxfId="996"/>
    <tableColumn id="4" xr3:uid="{21DF90A4-5446-462B-BE90-65EBB56D0B68}" uniqueName="4" name="Customer" queryTableFieldId="4" dataDxfId="995"/>
    <tableColumn id="5" xr3:uid="{1D3302B2-3398-4D4B-BA2A-24FC66ED659E}" uniqueName="5" name="Product" queryTableFieldId="5" dataDxfId="994"/>
    <tableColumn id="6" xr3:uid="{BBCEFE0F-D850-4807-8E9E-835B6BFD436B}" uniqueName="6" name="Quantity" queryTableFieldId="6" dataDxfId="993"/>
    <tableColumn id="7" xr3:uid="{E603B9DC-9DD1-4468-B059-99AEAABD78DF}" uniqueName="7" name="Sales Amount" queryTableFieldId="7" dataDxfId="992"/>
    <tableColumn id="8" xr3:uid="{630FACBB-073D-47BA-B3F5-38B8309852F2}" uniqueName="8" name="Cost" queryTableFieldId="8" dataDxfId="991"/>
    <tableColumn id="9" xr3:uid="{6ABD9811-82A8-4B63-94F7-EC26BB8DAD60}" uniqueName="9" name="Profit" queryTableFieldId="9" dataDxfId="99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5E6FF6-1746-4C70-AE19-5537FA08B448}" name="Sales_Data_2" displayName="Sales_Data_2" ref="A1:I21" tableType="queryTable" totalsRowShown="0" headerRowDxfId="989" dataDxfId="988">
  <autoFilter ref="A1:I21" xr:uid="{BB5E6FF6-1746-4C70-AE19-5537FA08B448}"/>
  <tableColumns count="9">
    <tableColumn id="1" xr3:uid="{6A79AD75-69EB-4747-9D4A-D1E35082FD4C}" uniqueName="1" name="Order ID" queryTableFieldId="1" dataDxfId="987"/>
    <tableColumn id="2" xr3:uid="{7BAF5ECC-4C40-4122-8820-F63BAA14999D}" uniqueName="2" name="Order Date" queryTableFieldId="2" dataDxfId="986"/>
    <tableColumn id="3" xr3:uid="{D49F91D0-8642-419B-BC3F-83BE74CC3972}" uniqueName="3" name="Region" queryTableFieldId="3" dataDxfId="985"/>
    <tableColumn id="4" xr3:uid="{45B63C95-5816-4228-B7AC-19CF4574F211}" uniqueName="4" name="Customer" queryTableFieldId="4" dataDxfId="984"/>
    <tableColumn id="5" xr3:uid="{5664B157-5C78-4448-9FA2-D6D5FC7DE626}" uniqueName="5" name="Product" queryTableFieldId="5" dataDxfId="983"/>
    <tableColumn id="6" xr3:uid="{CBA63D75-F7DA-4220-802E-19FDA105F0AE}" uniqueName="6" name="Quantity" queryTableFieldId="6" dataDxfId="982"/>
    <tableColumn id="7" xr3:uid="{7DB7CE42-ED3E-4AAD-9618-4D9EA05E302D}" uniqueName="7" name="Sales Amount" queryTableFieldId="7" dataDxfId="981"/>
    <tableColumn id="8" xr3:uid="{A613B35E-C812-46AD-9DF5-0C29EB8F600E}" uniqueName="8" name="Cost" queryTableFieldId="8" dataDxfId="980"/>
    <tableColumn id="9" xr3:uid="{343CAD99-8F5A-4BF1-AEFC-D1D0BCE1B100}" uniqueName="9" name="Profit" queryTableFieldId="9" dataDxfId="979"/>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EDDD76-923D-45C4-A6F6-B67133092E01}" name="Sales_Data" displayName="Sales_Data" ref="A1:I41" tableType="queryTable" totalsRowShown="0" headerRowDxfId="978" dataDxfId="977">
  <autoFilter ref="A1:I41" xr:uid="{5FEDDD76-923D-45C4-A6F6-B67133092E01}"/>
  <tableColumns count="9">
    <tableColumn id="1" xr3:uid="{D4A93B16-E9B6-436F-8567-83C8ECA76779}" uniqueName="1" name="Order ID" queryTableFieldId="1" dataDxfId="976"/>
    <tableColumn id="2" xr3:uid="{7A4E9383-FFB2-427D-9121-EE60A6B47F89}" uniqueName="2" name="Order Date" queryTableFieldId="2" dataDxfId="975"/>
    <tableColumn id="3" xr3:uid="{8BA401C4-6787-42D0-8C15-9A4A28B59984}" uniqueName="3" name="Region" queryTableFieldId="3" dataDxfId="974"/>
    <tableColumn id="4" xr3:uid="{991997D1-D840-4E5D-B922-CACAB4AFC6A4}" uniqueName="4" name="Customer" queryTableFieldId="4" dataDxfId="973"/>
    <tableColumn id="5" xr3:uid="{1D2AAB7F-7E1F-437F-8AFA-17F96827AEA2}" uniqueName="5" name="Product" queryTableFieldId="5" dataDxfId="972"/>
    <tableColumn id="6" xr3:uid="{D44E0470-46DB-4533-ADD4-F5FE271B307C}" uniqueName="6" name="Quantity" queryTableFieldId="6" dataDxfId="971"/>
    <tableColumn id="7" xr3:uid="{6CD0858F-AA55-46B3-B796-0C295787D148}" uniqueName="7" name="Sales Amount" queryTableFieldId="7" dataDxfId="970"/>
    <tableColumn id="8" xr3:uid="{33310820-4F78-4C66-99ED-8F8A952F906F}" uniqueName="8" name="Cost" queryTableFieldId="8" dataDxfId="969"/>
    <tableColumn id="9" xr3:uid="{A7E45B72-80D9-42FA-8AE8-944DD168D6CF}" uniqueName="9" name="Profit" queryTableFieldId="9" dataDxfId="96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440702D-7099-46C9-B17A-89AAF3CEDDEC}" sourceName="Order Date">
  <pivotTables>
    <pivotTable tabId="7" name="PivotTable6"/>
    <pivotTable tabId="7" name="PivotTable2"/>
    <pivotTable tabId="7" name="PivotTable4"/>
    <pivotTable tabId="7" name="PivotTable5"/>
    <pivotTable tabId="7" name="KPI_Dynamic"/>
  </pivotTables>
  <state minimalRefreshVersion="6" lastRefreshVersion="6" pivotCacheId="904704526"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AA43608-7D87-46E4-BFF3-B86BF6B40BBF}" cache="NativeTimeline_Order_Date" caption="Order Date" level="2" selectionLevel="2" scrollPosition="2026-03-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E1279EE9-76BC-4C49-8D08-6119957CB0A6}" cache="NativeTimeline_Order_Date" caption="Order Date" level="2" selectionLevel="2" scrollPosition="2026-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82CF2-47C7-454F-9CB7-E480F00A4FB0}">
  <dimension ref="A1:I21"/>
  <sheetViews>
    <sheetView zoomScale="130" zoomScaleNormal="130" workbookViewId="0">
      <selection activeCell="A26" sqref="A26"/>
    </sheetView>
  </sheetViews>
  <sheetFormatPr defaultRowHeight="15" x14ac:dyDescent="0.25"/>
  <cols>
    <col min="1" max="1" width="13.5703125" customWidth="1"/>
    <col min="2" max="2" width="17.42578125" customWidth="1"/>
    <col min="3" max="3" width="17.28515625" customWidth="1"/>
    <col min="4" max="4" width="19" customWidth="1"/>
    <col min="5" max="5" width="17.140625" customWidth="1"/>
    <col min="6" max="6" width="16.42578125" customWidth="1"/>
    <col min="7" max="7" width="19.28515625" customWidth="1"/>
    <col min="8" max="8" width="11.5703125" customWidth="1"/>
    <col min="9" max="9" width="11.85546875" customWidth="1"/>
  </cols>
  <sheetData>
    <row r="1" spans="1:9" x14ac:dyDescent="0.25">
      <c r="A1" s="1" t="s">
        <v>0</v>
      </c>
      <c r="B1" s="1" t="s">
        <v>1</v>
      </c>
      <c r="C1" s="1" t="s">
        <v>2</v>
      </c>
      <c r="D1" s="1" t="s">
        <v>3</v>
      </c>
      <c r="E1" s="1" t="s">
        <v>4</v>
      </c>
      <c r="F1" s="1" t="s">
        <v>5</v>
      </c>
      <c r="G1" s="1" t="s">
        <v>6</v>
      </c>
      <c r="H1" s="1" t="s">
        <v>7</v>
      </c>
      <c r="I1" s="1" t="s">
        <v>8</v>
      </c>
    </row>
    <row r="2" spans="1:9" x14ac:dyDescent="0.25">
      <c r="A2" s="1" t="s">
        <v>9</v>
      </c>
      <c r="B2" s="2">
        <v>46027</v>
      </c>
      <c r="C2" s="1" t="s">
        <v>10</v>
      </c>
      <c r="D2" s="1" t="s">
        <v>11</v>
      </c>
      <c r="E2" s="1" t="s">
        <v>12</v>
      </c>
      <c r="F2" s="1">
        <v>2</v>
      </c>
      <c r="G2" s="1">
        <v>180000</v>
      </c>
      <c r="H2" s="1">
        <v>135000</v>
      </c>
      <c r="I2" s="1">
        <v>45000</v>
      </c>
    </row>
    <row r="3" spans="1:9" x14ac:dyDescent="0.25">
      <c r="A3" s="1" t="s">
        <v>13</v>
      </c>
      <c r="B3" s="2">
        <v>46030</v>
      </c>
      <c r="C3" s="1" t="s">
        <v>14</v>
      </c>
      <c r="D3" s="1" t="s">
        <v>15</v>
      </c>
      <c r="E3" s="1" t="s">
        <v>16</v>
      </c>
      <c r="F3" s="1">
        <v>3</v>
      </c>
      <c r="G3" s="1">
        <v>90000</v>
      </c>
      <c r="H3" s="1">
        <v>67500</v>
      </c>
      <c r="I3" s="1">
        <v>22500</v>
      </c>
    </row>
    <row r="4" spans="1:9" x14ac:dyDescent="0.25">
      <c r="A4" s="1" t="s">
        <v>17</v>
      </c>
      <c r="B4" s="2">
        <v>46034</v>
      </c>
      <c r="C4" s="1" t="s">
        <v>10</v>
      </c>
      <c r="D4" s="1" t="s">
        <v>18</v>
      </c>
      <c r="E4" s="1" t="s">
        <v>19</v>
      </c>
      <c r="F4" s="1">
        <v>5</v>
      </c>
      <c r="G4" s="1">
        <v>25000</v>
      </c>
      <c r="H4" s="1">
        <v>18750</v>
      </c>
      <c r="I4" s="1">
        <v>6250</v>
      </c>
    </row>
    <row r="5" spans="1:9" x14ac:dyDescent="0.25">
      <c r="A5" s="1" t="s">
        <v>20</v>
      </c>
      <c r="B5" s="2">
        <v>46038</v>
      </c>
      <c r="C5" s="1" t="s">
        <v>21</v>
      </c>
      <c r="D5" s="1" t="s">
        <v>22</v>
      </c>
      <c r="E5" s="1" t="s">
        <v>23</v>
      </c>
      <c r="F5" s="1">
        <v>8</v>
      </c>
      <c r="G5" s="1">
        <v>16000</v>
      </c>
      <c r="H5" s="1">
        <v>12000</v>
      </c>
      <c r="I5" s="1">
        <v>4000</v>
      </c>
    </row>
    <row r="6" spans="1:9" x14ac:dyDescent="0.25">
      <c r="A6" s="1" t="s">
        <v>24</v>
      </c>
      <c r="B6" s="2">
        <v>46043</v>
      </c>
      <c r="C6" s="1" t="s">
        <v>25</v>
      </c>
      <c r="D6" s="1" t="s">
        <v>26</v>
      </c>
      <c r="E6" s="1" t="s">
        <v>12</v>
      </c>
      <c r="F6" s="1">
        <v>1</v>
      </c>
      <c r="G6" s="1">
        <v>90000</v>
      </c>
      <c r="H6" s="1">
        <v>67500</v>
      </c>
      <c r="I6" s="1">
        <v>22500</v>
      </c>
    </row>
    <row r="7" spans="1:9" x14ac:dyDescent="0.25">
      <c r="A7" s="1" t="s">
        <v>27</v>
      </c>
      <c r="B7" s="2">
        <v>46049</v>
      </c>
      <c r="C7" s="1" t="s">
        <v>28</v>
      </c>
      <c r="D7" s="1" t="s">
        <v>29</v>
      </c>
      <c r="E7" s="1" t="s">
        <v>16</v>
      </c>
      <c r="F7" s="1">
        <v>2</v>
      </c>
      <c r="G7" s="1">
        <v>60000</v>
      </c>
      <c r="H7" s="1">
        <v>45000</v>
      </c>
      <c r="I7" s="1">
        <v>15000</v>
      </c>
    </row>
    <row r="8" spans="1:9" x14ac:dyDescent="0.25">
      <c r="A8" s="1" t="s">
        <v>30</v>
      </c>
      <c r="B8" s="2">
        <v>46056</v>
      </c>
      <c r="C8" s="1" t="s">
        <v>10</v>
      </c>
      <c r="D8" s="1" t="s">
        <v>31</v>
      </c>
      <c r="E8" s="1" t="s">
        <v>32</v>
      </c>
      <c r="F8" s="1">
        <v>6</v>
      </c>
      <c r="G8" s="1">
        <v>30000</v>
      </c>
      <c r="H8" s="1">
        <v>22500</v>
      </c>
      <c r="I8" s="1">
        <v>7500</v>
      </c>
    </row>
    <row r="9" spans="1:9" x14ac:dyDescent="0.25">
      <c r="A9" s="1" t="s">
        <v>33</v>
      </c>
      <c r="B9" s="2">
        <v>46062</v>
      </c>
      <c r="C9" s="1" t="s">
        <v>14</v>
      </c>
      <c r="D9" s="1" t="s">
        <v>34</v>
      </c>
      <c r="E9" s="1" t="s">
        <v>35</v>
      </c>
      <c r="F9" s="1">
        <v>2</v>
      </c>
      <c r="G9" s="1">
        <v>50000</v>
      </c>
      <c r="H9" s="1">
        <v>37500</v>
      </c>
      <c r="I9" s="1">
        <v>12500</v>
      </c>
    </row>
    <row r="10" spans="1:9" x14ac:dyDescent="0.25">
      <c r="A10" s="1" t="s">
        <v>36</v>
      </c>
      <c r="B10" s="2">
        <v>46067</v>
      </c>
      <c r="C10" s="1" t="s">
        <v>21</v>
      </c>
      <c r="D10" s="1" t="s">
        <v>37</v>
      </c>
      <c r="E10" s="1" t="s">
        <v>19</v>
      </c>
      <c r="F10" s="1">
        <v>4</v>
      </c>
      <c r="G10" s="1">
        <v>20000</v>
      </c>
      <c r="H10" s="1">
        <v>15000</v>
      </c>
      <c r="I10" s="1">
        <v>5000</v>
      </c>
    </row>
    <row r="11" spans="1:9" x14ac:dyDescent="0.25">
      <c r="A11" s="1" t="s">
        <v>38</v>
      </c>
      <c r="B11" s="2">
        <v>46072</v>
      </c>
      <c r="C11" s="1" t="s">
        <v>25</v>
      </c>
      <c r="D11" s="1" t="s">
        <v>39</v>
      </c>
      <c r="E11" s="1" t="s">
        <v>23</v>
      </c>
      <c r="F11" s="1">
        <v>10</v>
      </c>
      <c r="G11" s="1">
        <v>20000</v>
      </c>
      <c r="H11" s="1">
        <v>15000</v>
      </c>
      <c r="I11" s="1">
        <v>5000</v>
      </c>
    </row>
    <row r="12" spans="1:9" x14ac:dyDescent="0.25">
      <c r="A12" s="1" t="s">
        <v>40</v>
      </c>
      <c r="B12" s="2">
        <v>46077</v>
      </c>
      <c r="C12" s="1" t="s">
        <v>10</v>
      </c>
      <c r="D12" s="1" t="s">
        <v>41</v>
      </c>
      <c r="E12" s="1" t="s">
        <v>12</v>
      </c>
      <c r="F12" s="1">
        <v>2</v>
      </c>
      <c r="G12" s="1">
        <v>190000</v>
      </c>
      <c r="H12" s="1">
        <v>142500</v>
      </c>
      <c r="I12" s="1">
        <v>47500</v>
      </c>
    </row>
    <row r="13" spans="1:9" x14ac:dyDescent="0.25">
      <c r="A13" s="1" t="s">
        <v>42</v>
      </c>
      <c r="B13" s="2">
        <v>46083</v>
      </c>
      <c r="C13" s="1" t="s">
        <v>28</v>
      </c>
      <c r="D13" s="1" t="s">
        <v>43</v>
      </c>
      <c r="E13" s="1" t="s">
        <v>16</v>
      </c>
      <c r="F13" s="1">
        <v>4</v>
      </c>
      <c r="G13" s="1">
        <v>120000</v>
      </c>
      <c r="H13" s="1">
        <v>90000</v>
      </c>
      <c r="I13" s="1">
        <v>30000</v>
      </c>
    </row>
    <row r="14" spans="1:9" x14ac:dyDescent="0.25">
      <c r="A14" s="1" t="s">
        <v>44</v>
      </c>
      <c r="B14" s="2">
        <v>46088</v>
      </c>
      <c r="C14" s="1" t="s">
        <v>14</v>
      </c>
      <c r="D14" s="1" t="s">
        <v>45</v>
      </c>
      <c r="E14" s="1" t="s">
        <v>32</v>
      </c>
      <c r="F14" s="1">
        <v>5</v>
      </c>
      <c r="G14" s="1">
        <v>27500</v>
      </c>
      <c r="H14" s="1">
        <v>20625</v>
      </c>
      <c r="I14" s="1">
        <v>6875</v>
      </c>
    </row>
    <row r="15" spans="1:9" x14ac:dyDescent="0.25">
      <c r="A15" s="1" t="s">
        <v>46</v>
      </c>
      <c r="B15" s="2">
        <v>46094</v>
      </c>
      <c r="C15" s="1" t="s">
        <v>10</v>
      </c>
      <c r="D15" s="1" t="s">
        <v>47</v>
      </c>
      <c r="E15" s="1" t="s">
        <v>35</v>
      </c>
      <c r="F15" s="1">
        <v>1</v>
      </c>
      <c r="G15" s="1">
        <v>28000</v>
      </c>
      <c r="H15" s="1">
        <v>21000</v>
      </c>
      <c r="I15" s="1">
        <v>7000</v>
      </c>
    </row>
    <row r="16" spans="1:9" x14ac:dyDescent="0.25">
      <c r="A16" s="1" t="s">
        <v>48</v>
      </c>
      <c r="B16" s="2">
        <v>46099</v>
      </c>
      <c r="C16" s="1" t="s">
        <v>21</v>
      </c>
      <c r="D16" s="1" t="s">
        <v>49</v>
      </c>
      <c r="E16" s="1" t="s">
        <v>19</v>
      </c>
      <c r="F16" s="1">
        <v>7</v>
      </c>
      <c r="G16" s="1">
        <v>35000</v>
      </c>
      <c r="H16" s="1">
        <v>26250</v>
      </c>
      <c r="I16" s="1">
        <v>8750</v>
      </c>
    </row>
    <row r="17" spans="1:9" x14ac:dyDescent="0.25">
      <c r="A17" s="1" t="s">
        <v>50</v>
      </c>
      <c r="B17" s="2">
        <v>46104</v>
      </c>
      <c r="C17" s="1" t="s">
        <v>25</v>
      </c>
      <c r="D17" s="1" t="s">
        <v>51</v>
      </c>
      <c r="E17" s="1" t="s">
        <v>23</v>
      </c>
      <c r="F17" s="1">
        <v>12</v>
      </c>
      <c r="G17" s="1">
        <v>24000</v>
      </c>
      <c r="H17" s="1">
        <v>18000</v>
      </c>
      <c r="I17" s="1">
        <v>6000</v>
      </c>
    </row>
    <row r="18" spans="1:9" x14ac:dyDescent="0.25">
      <c r="A18" s="1" t="s">
        <v>52</v>
      </c>
      <c r="B18" s="2">
        <v>46109</v>
      </c>
      <c r="C18" s="1" t="s">
        <v>28</v>
      </c>
      <c r="D18" s="1" t="s">
        <v>53</v>
      </c>
      <c r="E18" s="1" t="s">
        <v>12</v>
      </c>
      <c r="F18" s="1">
        <v>1</v>
      </c>
      <c r="G18" s="1">
        <v>95000</v>
      </c>
      <c r="H18" s="1">
        <v>71250</v>
      </c>
      <c r="I18" s="1">
        <v>23750</v>
      </c>
    </row>
    <row r="19" spans="1:9" x14ac:dyDescent="0.25">
      <c r="A19" s="1" t="s">
        <v>54</v>
      </c>
      <c r="B19" s="2">
        <v>46116</v>
      </c>
      <c r="C19" s="1" t="s">
        <v>10</v>
      </c>
      <c r="D19" s="1" t="s">
        <v>55</v>
      </c>
      <c r="E19" s="1" t="s">
        <v>16</v>
      </c>
      <c r="F19" s="1">
        <v>3</v>
      </c>
      <c r="G19" s="1">
        <v>93000</v>
      </c>
      <c r="H19" s="1">
        <v>69750</v>
      </c>
      <c r="I19" s="1">
        <v>23250</v>
      </c>
    </row>
    <row r="20" spans="1:9" x14ac:dyDescent="0.25">
      <c r="A20" s="1" t="s">
        <v>56</v>
      </c>
      <c r="B20" s="2">
        <v>46122</v>
      </c>
      <c r="C20" s="1" t="s">
        <v>14</v>
      </c>
      <c r="D20" s="1" t="s">
        <v>57</v>
      </c>
      <c r="E20" s="1" t="s">
        <v>35</v>
      </c>
      <c r="F20" s="1">
        <v>2</v>
      </c>
      <c r="G20" s="1">
        <v>52000</v>
      </c>
      <c r="H20" s="1">
        <v>39000</v>
      </c>
      <c r="I20" s="1">
        <v>13000</v>
      </c>
    </row>
    <row r="21" spans="1:9" x14ac:dyDescent="0.25">
      <c r="A21" s="1" t="s">
        <v>58</v>
      </c>
      <c r="B21" s="2">
        <v>46127</v>
      </c>
      <c r="C21" s="1" t="s">
        <v>21</v>
      </c>
      <c r="D21" s="1" t="s">
        <v>59</v>
      </c>
      <c r="E21" s="1" t="s">
        <v>32</v>
      </c>
      <c r="F21" s="1">
        <v>8</v>
      </c>
      <c r="G21" s="1">
        <v>44000</v>
      </c>
      <c r="H21" s="1">
        <v>33000</v>
      </c>
      <c r="I21" s="1">
        <v>11000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FB881-A2D0-4CD4-BD9C-88DF891B1CF9}">
  <dimension ref="A1:I21"/>
  <sheetViews>
    <sheetView zoomScale="130" zoomScaleNormal="130" workbookViewId="0">
      <selection activeCell="C26" sqref="C26"/>
    </sheetView>
  </sheetViews>
  <sheetFormatPr defaultRowHeight="15" x14ac:dyDescent="0.25"/>
  <cols>
    <col min="1" max="1" width="11.85546875" customWidth="1"/>
    <col min="2" max="2" width="14.7109375" customWidth="1"/>
    <col min="3" max="3" width="14.140625" customWidth="1"/>
    <col min="4" max="4" width="17" customWidth="1"/>
    <col min="5" max="5" width="13.85546875" customWidth="1"/>
    <col min="6" max="6" width="11" bestFit="1" customWidth="1"/>
    <col min="7" max="7" width="15.5703125" bestFit="1" customWidth="1"/>
    <col min="8" max="8" width="11.28515625" customWidth="1"/>
    <col min="9" max="9" width="12" customWidth="1"/>
  </cols>
  <sheetData>
    <row r="1" spans="1:9" x14ac:dyDescent="0.25">
      <c r="A1" s="1" t="s">
        <v>0</v>
      </c>
      <c r="B1" s="1" t="s">
        <v>1</v>
      </c>
      <c r="C1" s="1" t="s">
        <v>2</v>
      </c>
      <c r="D1" s="1" t="s">
        <v>3</v>
      </c>
      <c r="E1" s="1" t="s">
        <v>4</v>
      </c>
      <c r="F1" s="1" t="s">
        <v>5</v>
      </c>
      <c r="G1" s="1" t="s">
        <v>6</v>
      </c>
      <c r="H1" s="1" t="s">
        <v>7</v>
      </c>
      <c r="I1" s="1" t="s">
        <v>8</v>
      </c>
    </row>
    <row r="2" spans="1:9" x14ac:dyDescent="0.25">
      <c r="A2" s="1" t="s">
        <v>9</v>
      </c>
      <c r="B2" s="2">
        <v>46027</v>
      </c>
      <c r="C2" s="1" t="s">
        <v>10</v>
      </c>
      <c r="D2" s="1" t="s">
        <v>11</v>
      </c>
      <c r="E2" s="1" t="s">
        <v>12</v>
      </c>
      <c r="F2" s="1">
        <v>1</v>
      </c>
      <c r="G2" s="1">
        <v>92000</v>
      </c>
      <c r="H2" s="1">
        <v>69000</v>
      </c>
      <c r="I2" s="1">
        <v>23000</v>
      </c>
    </row>
    <row r="3" spans="1:9" x14ac:dyDescent="0.25">
      <c r="A3" s="1" t="s">
        <v>13</v>
      </c>
      <c r="B3" s="2">
        <v>46030</v>
      </c>
      <c r="C3" s="1" t="s">
        <v>14</v>
      </c>
      <c r="D3" s="1" t="s">
        <v>15</v>
      </c>
      <c r="E3" s="1" t="s">
        <v>16</v>
      </c>
      <c r="F3" s="1">
        <v>2</v>
      </c>
      <c r="G3" s="1">
        <v>62000</v>
      </c>
      <c r="H3" s="1">
        <v>46500</v>
      </c>
      <c r="I3" s="1">
        <v>15500</v>
      </c>
    </row>
    <row r="4" spans="1:9" x14ac:dyDescent="0.25">
      <c r="A4" s="1" t="s">
        <v>17</v>
      </c>
      <c r="B4" s="2">
        <v>46034</v>
      </c>
      <c r="C4" s="1" t="s">
        <v>10</v>
      </c>
      <c r="D4" s="1" t="s">
        <v>18</v>
      </c>
      <c r="E4" s="1" t="s">
        <v>19</v>
      </c>
      <c r="F4" s="1">
        <v>3</v>
      </c>
      <c r="G4" s="1">
        <v>16500</v>
      </c>
      <c r="H4" s="1">
        <v>12375</v>
      </c>
      <c r="I4" s="1">
        <v>4125</v>
      </c>
    </row>
    <row r="5" spans="1:9" x14ac:dyDescent="0.25">
      <c r="A5" s="1" t="s">
        <v>20</v>
      </c>
      <c r="B5" s="2">
        <v>46038</v>
      </c>
      <c r="C5" s="1" t="s">
        <v>21</v>
      </c>
      <c r="D5" s="1" t="s">
        <v>22</v>
      </c>
      <c r="E5" s="1" t="s">
        <v>23</v>
      </c>
      <c r="F5" s="1">
        <v>5</v>
      </c>
      <c r="G5" s="1">
        <v>10500</v>
      </c>
      <c r="H5" s="1">
        <v>7875</v>
      </c>
      <c r="I5" s="1">
        <v>2625</v>
      </c>
    </row>
    <row r="6" spans="1:9" x14ac:dyDescent="0.25">
      <c r="A6" s="1" t="s">
        <v>24</v>
      </c>
      <c r="B6" s="2">
        <v>46043</v>
      </c>
      <c r="C6" s="1" t="s">
        <v>25</v>
      </c>
      <c r="D6" s="1" t="s">
        <v>26</v>
      </c>
      <c r="E6" s="1" t="s">
        <v>12</v>
      </c>
      <c r="F6" s="1">
        <v>2</v>
      </c>
      <c r="G6" s="1">
        <v>185000</v>
      </c>
      <c r="H6" s="1">
        <v>138750</v>
      </c>
      <c r="I6" s="1">
        <v>46250</v>
      </c>
    </row>
    <row r="7" spans="1:9" x14ac:dyDescent="0.25">
      <c r="A7" s="1" t="s">
        <v>27</v>
      </c>
      <c r="B7" s="2">
        <v>46049</v>
      </c>
      <c r="C7" s="1" t="s">
        <v>28</v>
      </c>
      <c r="D7" s="1" t="s">
        <v>29</v>
      </c>
      <c r="E7" s="1" t="s">
        <v>16</v>
      </c>
      <c r="F7" s="1">
        <v>1</v>
      </c>
      <c r="G7" s="1">
        <v>31000</v>
      </c>
      <c r="H7" s="1">
        <v>23250</v>
      </c>
      <c r="I7" s="1">
        <v>7750</v>
      </c>
    </row>
    <row r="8" spans="1:9" x14ac:dyDescent="0.25">
      <c r="A8" s="1" t="s">
        <v>30</v>
      </c>
      <c r="B8" s="2">
        <v>46056</v>
      </c>
      <c r="C8" s="1" t="s">
        <v>10</v>
      </c>
      <c r="D8" s="1" t="s">
        <v>31</v>
      </c>
      <c r="E8" s="1" t="s">
        <v>32</v>
      </c>
      <c r="F8" s="1">
        <v>4</v>
      </c>
      <c r="G8" s="1">
        <v>22000</v>
      </c>
      <c r="H8" s="1">
        <v>16500</v>
      </c>
      <c r="I8" s="1">
        <v>5500</v>
      </c>
    </row>
    <row r="9" spans="1:9" x14ac:dyDescent="0.25">
      <c r="A9" s="1" t="s">
        <v>33</v>
      </c>
      <c r="B9" s="2">
        <v>46062</v>
      </c>
      <c r="C9" s="1" t="s">
        <v>14</v>
      </c>
      <c r="D9" s="1" t="s">
        <v>34</v>
      </c>
      <c r="E9" s="1" t="s">
        <v>35</v>
      </c>
      <c r="F9" s="1">
        <v>3</v>
      </c>
      <c r="G9" s="1">
        <v>78000</v>
      </c>
      <c r="H9" s="1">
        <v>58500</v>
      </c>
      <c r="I9" s="1">
        <v>19500</v>
      </c>
    </row>
    <row r="10" spans="1:9" x14ac:dyDescent="0.25">
      <c r="A10" s="1" t="s">
        <v>36</v>
      </c>
      <c r="B10" s="2">
        <v>46067</v>
      </c>
      <c r="C10" s="1" t="s">
        <v>21</v>
      </c>
      <c r="D10" s="1" t="s">
        <v>37</v>
      </c>
      <c r="E10" s="1" t="s">
        <v>19</v>
      </c>
      <c r="F10" s="1">
        <v>6</v>
      </c>
      <c r="G10" s="1">
        <v>33000</v>
      </c>
      <c r="H10" s="1">
        <v>24750</v>
      </c>
      <c r="I10" s="1">
        <v>8250</v>
      </c>
    </row>
    <row r="11" spans="1:9" x14ac:dyDescent="0.25">
      <c r="A11" s="1" t="s">
        <v>38</v>
      </c>
      <c r="B11" s="2">
        <v>46072</v>
      </c>
      <c r="C11" s="1" t="s">
        <v>25</v>
      </c>
      <c r="D11" s="1" t="s">
        <v>39</v>
      </c>
      <c r="E11" s="1" t="s">
        <v>23</v>
      </c>
      <c r="F11" s="1">
        <v>7</v>
      </c>
      <c r="G11" s="1">
        <v>14700</v>
      </c>
      <c r="H11" s="1">
        <v>11025</v>
      </c>
      <c r="I11" s="1">
        <v>3675</v>
      </c>
    </row>
    <row r="12" spans="1:9" x14ac:dyDescent="0.25">
      <c r="A12" s="1" t="s">
        <v>40</v>
      </c>
      <c r="B12" s="2">
        <v>46077</v>
      </c>
      <c r="C12" s="1" t="s">
        <v>10</v>
      </c>
      <c r="D12" s="1" t="s">
        <v>41</v>
      </c>
      <c r="E12" s="1" t="s">
        <v>12</v>
      </c>
      <c r="F12" s="1">
        <v>1</v>
      </c>
      <c r="G12" s="1">
        <v>97000</v>
      </c>
      <c r="H12" s="1">
        <v>72750</v>
      </c>
      <c r="I12" s="1">
        <v>24250</v>
      </c>
    </row>
    <row r="13" spans="1:9" x14ac:dyDescent="0.25">
      <c r="A13" s="1" t="s">
        <v>42</v>
      </c>
      <c r="B13" s="2">
        <v>46083</v>
      </c>
      <c r="C13" s="1" t="s">
        <v>28</v>
      </c>
      <c r="D13" s="1" t="s">
        <v>43</v>
      </c>
      <c r="E13" s="1" t="s">
        <v>16</v>
      </c>
      <c r="F13" s="1">
        <v>2</v>
      </c>
      <c r="G13" s="1">
        <v>61000</v>
      </c>
      <c r="H13" s="1">
        <v>45750</v>
      </c>
      <c r="I13" s="1">
        <v>15250</v>
      </c>
    </row>
    <row r="14" spans="1:9" x14ac:dyDescent="0.25">
      <c r="A14" s="1" t="s">
        <v>44</v>
      </c>
      <c r="B14" s="2">
        <v>46088</v>
      </c>
      <c r="C14" s="1" t="s">
        <v>14</v>
      </c>
      <c r="D14" s="1" t="s">
        <v>45</v>
      </c>
      <c r="E14" s="1" t="s">
        <v>32</v>
      </c>
      <c r="F14" s="1">
        <v>7</v>
      </c>
      <c r="G14" s="1">
        <v>38500</v>
      </c>
      <c r="H14" s="1">
        <v>28875</v>
      </c>
      <c r="I14" s="1">
        <v>9625</v>
      </c>
    </row>
    <row r="15" spans="1:9" x14ac:dyDescent="0.25">
      <c r="A15" s="1" t="s">
        <v>46</v>
      </c>
      <c r="B15" s="2">
        <v>46094</v>
      </c>
      <c r="C15" s="1" t="s">
        <v>10</v>
      </c>
      <c r="D15" s="1" t="s">
        <v>47</v>
      </c>
      <c r="E15" s="1" t="s">
        <v>35</v>
      </c>
      <c r="F15" s="1">
        <v>2</v>
      </c>
      <c r="G15" s="1">
        <v>57000</v>
      </c>
      <c r="H15" s="1">
        <v>42750</v>
      </c>
      <c r="I15" s="1">
        <v>14250</v>
      </c>
    </row>
    <row r="16" spans="1:9" x14ac:dyDescent="0.25">
      <c r="A16" s="1" t="s">
        <v>48</v>
      </c>
      <c r="B16" s="2">
        <v>46099</v>
      </c>
      <c r="C16" s="1" t="s">
        <v>21</v>
      </c>
      <c r="D16" s="1" t="s">
        <v>49</v>
      </c>
      <c r="E16" s="1" t="s">
        <v>19</v>
      </c>
      <c r="F16" s="1">
        <v>5</v>
      </c>
      <c r="G16" s="1">
        <v>27000</v>
      </c>
      <c r="H16" s="1">
        <v>20250</v>
      </c>
      <c r="I16" s="1">
        <v>6750</v>
      </c>
    </row>
    <row r="17" spans="1:9" x14ac:dyDescent="0.25">
      <c r="A17" s="1" t="s">
        <v>50</v>
      </c>
      <c r="B17" s="2">
        <v>46104</v>
      </c>
      <c r="C17" s="1" t="s">
        <v>25</v>
      </c>
      <c r="D17" s="1" t="s">
        <v>51</v>
      </c>
      <c r="E17" s="1" t="s">
        <v>23</v>
      </c>
      <c r="F17" s="1">
        <v>9</v>
      </c>
      <c r="G17" s="1">
        <v>19800</v>
      </c>
      <c r="H17" s="1">
        <v>14850</v>
      </c>
      <c r="I17" s="1">
        <v>4950</v>
      </c>
    </row>
    <row r="18" spans="1:9" x14ac:dyDescent="0.25">
      <c r="A18" s="1" t="s">
        <v>52</v>
      </c>
      <c r="B18" s="2">
        <v>46109</v>
      </c>
      <c r="C18" s="1" t="s">
        <v>28</v>
      </c>
      <c r="D18" s="1" t="s">
        <v>53</v>
      </c>
      <c r="E18" s="1" t="s">
        <v>12</v>
      </c>
      <c r="F18" s="1">
        <v>2</v>
      </c>
      <c r="G18" s="1">
        <v>192000</v>
      </c>
      <c r="H18" s="1">
        <v>144000</v>
      </c>
      <c r="I18" s="1">
        <v>48000</v>
      </c>
    </row>
    <row r="19" spans="1:9" x14ac:dyDescent="0.25">
      <c r="A19" s="1" t="s">
        <v>54</v>
      </c>
      <c r="B19" s="2">
        <v>46116</v>
      </c>
      <c r="C19" s="1" t="s">
        <v>10</v>
      </c>
      <c r="D19" s="1" t="s">
        <v>55</v>
      </c>
      <c r="E19" s="1" t="s">
        <v>16</v>
      </c>
      <c r="F19" s="1">
        <v>1</v>
      </c>
      <c r="G19" s="1">
        <v>31500</v>
      </c>
      <c r="H19" s="1">
        <v>23625</v>
      </c>
      <c r="I19" s="1">
        <v>7875</v>
      </c>
    </row>
    <row r="20" spans="1:9" x14ac:dyDescent="0.25">
      <c r="A20" s="1" t="s">
        <v>56</v>
      </c>
      <c r="B20" s="2">
        <v>46122</v>
      </c>
      <c r="C20" s="1" t="s">
        <v>14</v>
      </c>
      <c r="D20" s="1" t="s">
        <v>57</v>
      </c>
      <c r="E20" s="1" t="s">
        <v>35</v>
      </c>
      <c r="F20" s="1">
        <v>4</v>
      </c>
      <c r="G20" s="1">
        <v>106000</v>
      </c>
      <c r="H20" s="1">
        <v>79500</v>
      </c>
      <c r="I20" s="1">
        <v>26500</v>
      </c>
    </row>
    <row r="21" spans="1:9" x14ac:dyDescent="0.25">
      <c r="A21" s="1" t="s">
        <v>58</v>
      </c>
      <c r="B21" s="2">
        <v>46127</v>
      </c>
      <c r="C21" s="1" t="s">
        <v>21</v>
      </c>
      <c r="D21" s="1" t="s">
        <v>59</v>
      </c>
      <c r="E21" s="1" t="s">
        <v>32</v>
      </c>
      <c r="F21" s="1">
        <v>5</v>
      </c>
      <c r="G21" s="1">
        <v>28000</v>
      </c>
      <c r="H21" s="1">
        <v>21000</v>
      </c>
      <c r="I21" s="1">
        <v>7000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021C-8EA8-451F-B2A8-294A36CA72AA}">
  <dimension ref="A1:I43"/>
  <sheetViews>
    <sheetView zoomScale="115" zoomScaleNormal="115" workbookViewId="0">
      <selection activeCell="O19" sqref="O19"/>
    </sheetView>
  </sheetViews>
  <sheetFormatPr defaultRowHeight="15" x14ac:dyDescent="0.25"/>
  <cols>
    <col min="1" max="1" width="13.42578125" customWidth="1"/>
    <col min="2" max="2" width="15.5703125" customWidth="1"/>
    <col min="3" max="3" width="17.28515625" customWidth="1"/>
    <col min="4" max="4" width="19.140625" customWidth="1"/>
    <col min="5" max="5" width="14.42578125" customWidth="1"/>
    <col min="6" max="6" width="11" bestFit="1" customWidth="1"/>
    <col min="7" max="7" width="16.85546875" customWidth="1"/>
    <col min="8" max="8" width="13.28515625" customWidth="1"/>
    <col min="9" max="9" width="13.7109375" customWidth="1"/>
  </cols>
  <sheetData>
    <row r="1" spans="1:9" x14ac:dyDescent="0.25">
      <c r="A1" s="1" t="s">
        <v>0</v>
      </c>
      <c r="B1" s="1" t="s">
        <v>1</v>
      </c>
      <c r="C1" s="1" t="s">
        <v>2</v>
      </c>
      <c r="D1" s="1" t="s">
        <v>3</v>
      </c>
      <c r="E1" s="1" t="s">
        <v>4</v>
      </c>
      <c r="F1" s="1" t="s">
        <v>5</v>
      </c>
      <c r="G1" s="1" t="s">
        <v>6</v>
      </c>
      <c r="H1" s="1" t="s">
        <v>7</v>
      </c>
      <c r="I1" s="1" t="s">
        <v>8</v>
      </c>
    </row>
    <row r="2" spans="1:9" x14ac:dyDescent="0.25">
      <c r="A2" s="1" t="s">
        <v>9</v>
      </c>
      <c r="B2" s="2">
        <v>46027</v>
      </c>
      <c r="C2" s="1" t="s">
        <v>10</v>
      </c>
      <c r="D2" s="1" t="s">
        <v>11</v>
      </c>
      <c r="E2" s="1" t="s">
        <v>12</v>
      </c>
      <c r="F2" s="1">
        <v>2</v>
      </c>
      <c r="G2" s="1">
        <v>180000</v>
      </c>
      <c r="H2" s="1">
        <v>135000</v>
      </c>
      <c r="I2" s="1">
        <v>45000</v>
      </c>
    </row>
    <row r="3" spans="1:9" x14ac:dyDescent="0.25">
      <c r="A3" s="1" t="s">
        <v>13</v>
      </c>
      <c r="B3" s="2">
        <v>46030</v>
      </c>
      <c r="C3" s="1" t="s">
        <v>14</v>
      </c>
      <c r="D3" s="1" t="s">
        <v>15</v>
      </c>
      <c r="E3" s="1" t="s">
        <v>16</v>
      </c>
      <c r="F3" s="1">
        <v>3</v>
      </c>
      <c r="G3" s="1">
        <v>90000</v>
      </c>
      <c r="H3" s="1">
        <v>67500</v>
      </c>
      <c r="I3" s="1">
        <v>22500</v>
      </c>
    </row>
    <row r="4" spans="1:9" x14ac:dyDescent="0.25">
      <c r="A4" s="1" t="s">
        <v>17</v>
      </c>
      <c r="B4" s="2">
        <v>46034</v>
      </c>
      <c r="C4" s="1" t="s">
        <v>10</v>
      </c>
      <c r="D4" s="1" t="s">
        <v>18</v>
      </c>
      <c r="E4" s="1" t="s">
        <v>19</v>
      </c>
      <c r="F4" s="1">
        <v>5</v>
      </c>
      <c r="G4" s="1">
        <v>25000</v>
      </c>
      <c r="H4" s="1">
        <v>18750</v>
      </c>
      <c r="I4" s="1">
        <v>6250</v>
      </c>
    </row>
    <row r="5" spans="1:9" x14ac:dyDescent="0.25">
      <c r="A5" s="1" t="s">
        <v>20</v>
      </c>
      <c r="B5" s="2">
        <v>46038</v>
      </c>
      <c r="C5" s="1" t="s">
        <v>21</v>
      </c>
      <c r="D5" s="1" t="s">
        <v>22</v>
      </c>
      <c r="E5" s="1" t="s">
        <v>23</v>
      </c>
      <c r="F5" s="1">
        <v>8</v>
      </c>
      <c r="G5" s="1">
        <v>16000</v>
      </c>
      <c r="H5" s="1">
        <v>12000</v>
      </c>
      <c r="I5" s="1">
        <v>4000</v>
      </c>
    </row>
    <row r="6" spans="1:9" x14ac:dyDescent="0.25">
      <c r="A6" s="1" t="s">
        <v>24</v>
      </c>
      <c r="B6" s="2">
        <v>46043</v>
      </c>
      <c r="C6" s="1" t="s">
        <v>25</v>
      </c>
      <c r="D6" s="1" t="s">
        <v>26</v>
      </c>
      <c r="E6" s="1" t="s">
        <v>12</v>
      </c>
      <c r="F6" s="1">
        <v>1</v>
      </c>
      <c r="G6" s="1">
        <v>90000</v>
      </c>
      <c r="H6" s="1">
        <v>67500</v>
      </c>
      <c r="I6" s="1">
        <v>22500</v>
      </c>
    </row>
    <row r="7" spans="1:9" x14ac:dyDescent="0.25">
      <c r="A7" s="1" t="s">
        <v>27</v>
      </c>
      <c r="B7" s="2">
        <v>46049</v>
      </c>
      <c r="C7" s="1" t="s">
        <v>28</v>
      </c>
      <c r="D7" s="1" t="s">
        <v>29</v>
      </c>
      <c r="E7" s="1" t="s">
        <v>16</v>
      </c>
      <c r="F7" s="1">
        <v>2</v>
      </c>
      <c r="G7" s="1">
        <v>60000</v>
      </c>
      <c r="H7" s="1">
        <v>45000</v>
      </c>
      <c r="I7" s="1">
        <v>15000</v>
      </c>
    </row>
    <row r="8" spans="1:9" x14ac:dyDescent="0.25">
      <c r="A8" s="1" t="s">
        <v>30</v>
      </c>
      <c r="B8" s="2">
        <v>46056</v>
      </c>
      <c r="C8" s="1" t="s">
        <v>10</v>
      </c>
      <c r="D8" s="1" t="s">
        <v>31</v>
      </c>
      <c r="E8" s="1" t="s">
        <v>32</v>
      </c>
      <c r="F8" s="1">
        <v>6</v>
      </c>
      <c r="G8" s="1">
        <v>30000</v>
      </c>
      <c r="H8" s="1">
        <v>22500</v>
      </c>
      <c r="I8" s="1">
        <v>7500</v>
      </c>
    </row>
    <row r="9" spans="1:9" x14ac:dyDescent="0.25">
      <c r="A9" s="1" t="s">
        <v>33</v>
      </c>
      <c r="B9" s="2">
        <v>46062</v>
      </c>
      <c r="C9" s="1" t="s">
        <v>14</v>
      </c>
      <c r="D9" s="1" t="s">
        <v>34</v>
      </c>
      <c r="E9" s="1" t="s">
        <v>35</v>
      </c>
      <c r="F9" s="1">
        <v>2</v>
      </c>
      <c r="G9" s="1">
        <v>50000</v>
      </c>
      <c r="H9" s="1">
        <v>37500</v>
      </c>
      <c r="I9" s="1">
        <v>12500</v>
      </c>
    </row>
    <row r="10" spans="1:9" x14ac:dyDescent="0.25">
      <c r="A10" s="1" t="s">
        <v>36</v>
      </c>
      <c r="B10" s="2">
        <v>46067</v>
      </c>
      <c r="C10" s="1" t="s">
        <v>21</v>
      </c>
      <c r="D10" s="1" t="s">
        <v>37</v>
      </c>
      <c r="E10" s="1" t="s">
        <v>19</v>
      </c>
      <c r="F10" s="1">
        <v>4</v>
      </c>
      <c r="G10" s="1">
        <v>20000</v>
      </c>
      <c r="H10" s="1">
        <v>15000</v>
      </c>
      <c r="I10" s="1">
        <v>5000</v>
      </c>
    </row>
    <row r="11" spans="1:9" x14ac:dyDescent="0.25">
      <c r="A11" s="1" t="s">
        <v>38</v>
      </c>
      <c r="B11" s="2">
        <v>46072</v>
      </c>
      <c r="C11" s="1" t="s">
        <v>25</v>
      </c>
      <c r="D11" s="1" t="s">
        <v>39</v>
      </c>
      <c r="E11" s="1" t="s">
        <v>23</v>
      </c>
      <c r="F11" s="1">
        <v>10</v>
      </c>
      <c r="G11" s="1">
        <v>20000</v>
      </c>
      <c r="H11" s="1">
        <v>15000</v>
      </c>
      <c r="I11" s="1">
        <v>5000</v>
      </c>
    </row>
    <row r="12" spans="1:9" x14ac:dyDescent="0.25">
      <c r="A12" s="1" t="s">
        <v>40</v>
      </c>
      <c r="B12" s="2">
        <v>46077</v>
      </c>
      <c r="C12" s="1" t="s">
        <v>10</v>
      </c>
      <c r="D12" s="1" t="s">
        <v>41</v>
      </c>
      <c r="E12" s="1" t="s">
        <v>12</v>
      </c>
      <c r="F12" s="1">
        <v>2</v>
      </c>
      <c r="G12" s="1">
        <v>190000</v>
      </c>
      <c r="H12" s="1">
        <v>142500</v>
      </c>
      <c r="I12" s="1">
        <v>47500</v>
      </c>
    </row>
    <row r="13" spans="1:9" x14ac:dyDescent="0.25">
      <c r="A13" s="1" t="s">
        <v>42</v>
      </c>
      <c r="B13" s="2">
        <v>46083</v>
      </c>
      <c r="C13" s="1" t="s">
        <v>28</v>
      </c>
      <c r="D13" s="1" t="s">
        <v>43</v>
      </c>
      <c r="E13" s="1" t="s">
        <v>16</v>
      </c>
      <c r="F13" s="1">
        <v>4</v>
      </c>
      <c r="G13" s="1">
        <v>120000</v>
      </c>
      <c r="H13" s="1">
        <v>90000</v>
      </c>
      <c r="I13" s="1">
        <v>30000</v>
      </c>
    </row>
    <row r="14" spans="1:9" x14ac:dyDescent="0.25">
      <c r="A14" s="1" t="s">
        <v>44</v>
      </c>
      <c r="B14" s="2">
        <v>46088</v>
      </c>
      <c r="C14" s="1" t="s">
        <v>14</v>
      </c>
      <c r="D14" s="1" t="s">
        <v>45</v>
      </c>
      <c r="E14" s="1" t="s">
        <v>32</v>
      </c>
      <c r="F14" s="1">
        <v>5</v>
      </c>
      <c r="G14" s="1">
        <v>27500</v>
      </c>
      <c r="H14" s="1">
        <v>20625</v>
      </c>
      <c r="I14" s="1">
        <v>6875</v>
      </c>
    </row>
    <row r="15" spans="1:9" x14ac:dyDescent="0.25">
      <c r="A15" s="1" t="s">
        <v>46</v>
      </c>
      <c r="B15" s="2">
        <v>46094</v>
      </c>
      <c r="C15" s="1" t="s">
        <v>10</v>
      </c>
      <c r="D15" s="1" t="s">
        <v>47</v>
      </c>
      <c r="E15" s="1" t="s">
        <v>35</v>
      </c>
      <c r="F15" s="1">
        <v>1</v>
      </c>
      <c r="G15" s="1">
        <v>28000</v>
      </c>
      <c r="H15" s="1">
        <v>21000</v>
      </c>
      <c r="I15" s="1">
        <v>7000</v>
      </c>
    </row>
    <row r="16" spans="1:9" x14ac:dyDescent="0.25">
      <c r="A16" s="1" t="s">
        <v>48</v>
      </c>
      <c r="B16" s="2">
        <v>46099</v>
      </c>
      <c r="C16" s="1" t="s">
        <v>21</v>
      </c>
      <c r="D16" s="1" t="s">
        <v>49</v>
      </c>
      <c r="E16" s="1" t="s">
        <v>19</v>
      </c>
      <c r="F16" s="1">
        <v>7</v>
      </c>
      <c r="G16" s="1">
        <v>35000</v>
      </c>
      <c r="H16" s="1">
        <v>26250</v>
      </c>
      <c r="I16" s="1">
        <v>8750</v>
      </c>
    </row>
    <row r="17" spans="1:9" x14ac:dyDescent="0.25">
      <c r="A17" s="1" t="s">
        <v>50</v>
      </c>
      <c r="B17" s="2">
        <v>46104</v>
      </c>
      <c r="C17" s="1" t="s">
        <v>25</v>
      </c>
      <c r="D17" s="1" t="s">
        <v>51</v>
      </c>
      <c r="E17" s="1" t="s">
        <v>23</v>
      </c>
      <c r="F17" s="1">
        <v>12</v>
      </c>
      <c r="G17" s="1">
        <v>24000</v>
      </c>
      <c r="H17" s="1">
        <v>18000</v>
      </c>
      <c r="I17" s="1">
        <v>6000</v>
      </c>
    </row>
    <row r="18" spans="1:9" x14ac:dyDescent="0.25">
      <c r="A18" s="1" t="s">
        <v>52</v>
      </c>
      <c r="B18" s="2">
        <v>46109</v>
      </c>
      <c r="C18" s="1" t="s">
        <v>28</v>
      </c>
      <c r="D18" s="1" t="s">
        <v>53</v>
      </c>
      <c r="E18" s="1" t="s">
        <v>12</v>
      </c>
      <c r="F18" s="1">
        <v>1</v>
      </c>
      <c r="G18" s="1">
        <v>95000</v>
      </c>
      <c r="H18" s="1">
        <v>71250</v>
      </c>
      <c r="I18" s="1">
        <v>23750</v>
      </c>
    </row>
    <row r="19" spans="1:9" x14ac:dyDescent="0.25">
      <c r="A19" s="1" t="s">
        <v>54</v>
      </c>
      <c r="B19" s="2">
        <v>46116</v>
      </c>
      <c r="C19" s="1" t="s">
        <v>10</v>
      </c>
      <c r="D19" s="1" t="s">
        <v>55</v>
      </c>
      <c r="E19" s="1" t="s">
        <v>16</v>
      </c>
      <c r="F19" s="1">
        <v>3</v>
      </c>
      <c r="G19" s="1">
        <v>93000</v>
      </c>
      <c r="H19" s="1">
        <v>69750</v>
      </c>
      <c r="I19" s="1">
        <v>23250</v>
      </c>
    </row>
    <row r="20" spans="1:9" x14ac:dyDescent="0.25">
      <c r="A20" s="1" t="s">
        <v>56</v>
      </c>
      <c r="B20" s="2">
        <v>46122</v>
      </c>
      <c r="C20" s="1" t="s">
        <v>14</v>
      </c>
      <c r="D20" s="1" t="s">
        <v>57</v>
      </c>
      <c r="E20" s="1" t="s">
        <v>35</v>
      </c>
      <c r="F20" s="1">
        <v>2</v>
      </c>
      <c r="G20" s="1">
        <v>52000</v>
      </c>
      <c r="H20" s="1">
        <v>39000</v>
      </c>
      <c r="I20" s="1">
        <v>13000</v>
      </c>
    </row>
    <row r="21" spans="1:9" x14ac:dyDescent="0.25">
      <c r="A21" s="1" t="s">
        <v>58</v>
      </c>
      <c r="B21" s="2">
        <v>46127</v>
      </c>
      <c r="C21" s="1" t="s">
        <v>21</v>
      </c>
      <c r="D21" s="1" t="s">
        <v>59</v>
      </c>
      <c r="E21" s="1" t="s">
        <v>32</v>
      </c>
      <c r="F21" s="1">
        <v>8</v>
      </c>
      <c r="G21" s="1">
        <v>44000</v>
      </c>
      <c r="H21" s="1">
        <v>33000</v>
      </c>
      <c r="I21" s="1">
        <v>11000</v>
      </c>
    </row>
    <row r="22" spans="1:9" x14ac:dyDescent="0.25">
      <c r="A22" s="1" t="s">
        <v>9</v>
      </c>
      <c r="B22" s="2">
        <v>46027</v>
      </c>
      <c r="C22" s="1" t="s">
        <v>10</v>
      </c>
      <c r="D22" s="1" t="s">
        <v>11</v>
      </c>
      <c r="E22" s="1" t="s">
        <v>12</v>
      </c>
      <c r="F22" s="1">
        <v>1</v>
      </c>
      <c r="G22" s="1">
        <v>92000</v>
      </c>
      <c r="H22" s="1">
        <v>69000</v>
      </c>
      <c r="I22" s="1">
        <v>23000</v>
      </c>
    </row>
    <row r="23" spans="1:9" x14ac:dyDescent="0.25">
      <c r="A23" s="1" t="s">
        <v>13</v>
      </c>
      <c r="B23" s="2">
        <v>46030</v>
      </c>
      <c r="C23" s="1" t="s">
        <v>14</v>
      </c>
      <c r="D23" s="1" t="s">
        <v>15</v>
      </c>
      <c r="E23" s="1" t="s">
        <v>16</v>
      </c>
      <c r="F23" s="1">
        <v>2</v>
      </c>
      <c r="G23" s="1">
        <v>62000</v>
      </c>
      <c r="H23" s="1">
        <v>46500</v>
      </c>
      <c r="I23" s="1">
        <v>15500</v>
      </c>
    </row>
    <row r="24" spans="1:9" x14ac:dyDescent="0.25">
      <c r="A24" s="1" t="s">
        <v>17</v>
      </c>
      <c r="B24" s="2">
        <v>46034</v>
      </c>
      <c r="C24" s="1" t="s">
        <v>10</v>
      </c>
      <c r="D24" s="1" t="s">
        <v>18</v>
      </c>
      <c r="E24" s="1" t="s">
        <v>19</v>
      </c>
      <c r="F24" s="1">
        <v>3</v>
      </c>
      <c r="G24" s="1">
        <v>16500</v>
      </c>
      <c r="H24" s="1">
        <v>12375</v>
      </c>
      <c r="I24" s="1">
        <v>4125</v>
      </c>
    </row>
    <row r="25" spans="1:9" x14ac:dyDescent="0.25">
      <c r="A25" s="1" t="s">
        <v>20</v>
      </c>
      <c r="B25" s="2">
        <v>46038</v>
      </c>
      <c r="C25" s="1" t="s">
        <v>21</v>
      </c>
      <c r="D25" s="1" t="s">
        <v>22</v>
      </c>
      <c r="E25" s="1" t="s">
        <v>23</v>
      </c>
      <c r="F25" s="1">
        <v>5</v>
      </c>
      <c r="G25" s="1">
        <v>10500</v>
      </c>
      <c r="H25" s="1">
        <v>7875</v>
      </c>
      <c r="I25" s="1">
        <v>2625</v>
      </c>
    </row>
    <row r="26" spans="1:9" x14ac:dyDescent="0.25">
      <c r="A26" s="1" t="s">
        <v>24</v>
      </c>
      <c r="B26" s="2">
        <v>46043</v>
      </c>
      <c r="C26" s="1" t="s">
        <v>25</v>
      </c>
      <c r="D26" s="1" t="s">
        <v>26</v>
      </c>
      <c r="E26" s="1" t="s">
        <v>12</v>
      </c>
      <c r="F26" s="1">
        <v>2</v>
      </c>
      <c r="G26" s="1">
        <v>185000</v>
      </c>
      <c r="H26" s="1">
        <v>138750</v>
      </c>
      <c r="I26" s="1">
        <v>46250</v>
      </c>
    </row>
    <row r="27" spans="1:9" x14ac:dyDescent="0.25">
      <c r="A27" s="1" t="s">
        <v>27</v>
      </c>
      <c r="B27" s="2">
        <v>46049</v>
      </c>
      <c r="C27" s="1" t="s">
        <v>28</v>
      </c>
      <c r="D27" s="1" t="s">
        <v>29</v>
      </c>
      <c r="E27" s="1" t="s">
        <v>16</v>
      </c>
      <c r="F27" s="1">
        <v>1</v>
      </c>
      <c r="G27" s="1">
        <v>31000</v>
      </c>
      <c r="H27" s="1">
        <v>23250</v>
      </c>
      <c r="I27" s="1">
        <v>7750</v>
      </c>
    </row>
    <row r="28" spans="1:9" x14ac:dyDescent="0.25">
      <c r="A28" s="1" t="s">
        <v>30</v>
      </c>
      <c r="B28" s="2">
        <v>46056</v>
      </c>
      <c r="C28" s="1" t="s">
        <v>10</v>
      </c>
      <c r="D28" s="1" t="s">
        <v>31</v>
      </c>
      <c r="E28" s="1" t="s">
        <v>32</v>
      </c>
      <c r="F28" s="1">
        <v>4</v>
      </c>
      <c r="G28" s="1">
        <v>22000</v>
      </c>
      <c r="H28" s="1">
        <v>16500</v>
      </c>
      <c r="I28" s="1">
        <v>5500</v>
      </c>
    </row>
    <row r="29" spans="1:9" x14ac:dyDescent="0.25">
      <c r="A29" s="1" t="s">
        <v>33</v>
      </c>
      <c r="B29" s="2">
        <v>46062</v>
      </c>
      <c r="C29" s="1" t="s">
        <v>14</v>
      </c>
      <c r="D29" s="1" t="s">
        <v>34</v>
      </c>
      <c r="E29" s="1" t="s">
        <v>35</v>
      </c>
      <c r="F29" s="1">
        <v>3</v>
      </c>
      <c r="G29" s="1">
        <v>78000</v>
      </c>
      <c r="H29" s="1">
        <v>58500</v>
      </c>
      <c r="I29" s="1">
        <v>19500</v>
      </c>
    </row>
    <row r="30" spans="1:9" x14ac:dyDescent="0.25">
      <c r="A30" s="1" t="s">
        <v>36</v>
      </c>
      <c r="B30" s="2">
        <v>46067</v>
      </c>
      <c r="C30" s="1" t="s">
        <v>21</v>
      </c>
      <c r="D30" s="1" t="s">
        <v>37</v>
      </c>
      <c r="E30" s="1" t="s">
        <v>19</v>
      </c>
      <c r="F30" s="1">
        <v>6</v>
      </c>
      <c r="G30" s="1">
        <v>33000</v>
      </c>
      <c r="H30" s="1">
        <v>24750</v>
      </c>
      <c r="I30" s="1">
        <v>8250</v>
      </c>
    </row>
    <row r="31" spans="1:9" x14ac:dyDescent="0.25">
      <c r="A31" s="1" t="s">
        <v>38</v>
      </c>
      <c r="B31" s="2">
        <v>46072</v>
      </c>
      <c r="C31" s="1" t="s">
        <v>25</v>
      </c>
      <c r="D31" s="1" t="s">
        <v>39</v>
      </c>
      <c r="E31" s="1" t="s">
        <v>23</v>
      </c>
      <c r="F31" s="1">
        <v>7</v>
      </c>
      <c r="G31" s="1">
        <v>14700</v>
      </c>
      <c r="H31" s="1">
        <v>11025</v>
      </c>
      <c r="I31" s="1">
        <v>3675</v>
      </c>
    </row>
    <row r="32" spans="1:9" x14ac:dyDescent="0.25">
      <c r="A32" s="1" t="s">
        <v>40</v>
      </c>
      <c r="B32" s="2">
        <v>46077</v>
      </c>
      <c r="C32" s="1" t="s">
        <v>10</v>
      </c>
      <c r="D32" s="1" t="s">
        <v>41</v>
      </c>
      <c r="E32" s="1" t="s">
        <v>12</v>
      </c>
      <c r="F32" s="1">
        <v>1</v>
      </c>
      <c r="G32" s="1">
        <v>97000</v>
      </c>
      <c r="H32" s="1">
        <v>72750</v>
      </c>
      <c r="I32" s="1">
        <v>24250</v>
      </c>
    </row>
    <row r="33" spans="1:9" x14ac:dyDescent="0.25">
      <c r="A33" s="1" t="s">
        <v>42</v>
      </c>
      <c r="B33" s="2">
        <v>46083</v>
      </c>
      <c r="C33" s="1" t="s">
        <v>28</v>
      </c>
      <c r="D33" s="1" t="s">
        <v>43</v>
      </c>
      <c r="E33" s="1" t="s">
        <v>16</v>
      </c>
      <c r="F33" s="1">
        <v>2</v>
      </c>
      <c r="G33" s="1">
        <v>61000</v>
      </c>
      <c r="H33" s="1">
        <v>45750</v>
      </c>
      <c r="I33" s="1">
        <v>15250</v>
      </c>
    </row>
    <row r="34" spans="1:9" x14ac:dyDescent="0.25">
      <c r="A34" s="1" t="s">
        <v>44</v>
      </c>
      <c r="B34" s="2">
        <v>46088</v>
      </c>
      <c r="C34" s="1" t="s">
        <v>14</v>
      </c>
      <c r="D34" s="1" t="s">
        <v>45</v>
      </c>
      <c r="E34" s="1" t="s">
        <v>32</v>
      </c>
      <c r="F34" s="1">
        <v>7</v>
      </c>
      <c r="G34" s="1">
        <v>38500</v>
      </c>
      <c r="H34" s="1">
        <v>28875</v>
      </c>
      <c r="I34" s="1">
        <v>9625</v>
      </c>
    </row>
    <row r="35" spans="1:9" x14ac:dyDescent="0.25">
      <c r="A35" s="1" t="s">
        <v>46</v>
      </c>
      <c r="B35" s="2">
        <v>46094</v>
      </c>
      <c r="C35" s="1" t="s">
        <v>10</v>
      </c>
      <c r="D35" s="1" t="s">
        <v>47</v>
      </c>
      <c r="E35" s="1" t="s">
        <v>35</v>
      </c>
      <c r="F35" s="1">
        <v>2</v>
      </c>
      <c r="G35" s="1">
        <v>57000</v>
      </c>
      <c r="H35" s="1">
        <v>42750</v>
      </c>
      <c r="I35" s="1">
        <v>14250</v>
      </c>
    </row>
    <row r="36" spans="1:9" x14ac:dyDescent="0.25">
      <c r="A36" s="1" t="s">
        <v>48</v>
      </c>
      <c r="B36" s="2">
        <v>46099</v>
      </c>
      <c r="C36" s="1" t="s">
        <v>21</v>
      </c>
      <c r="D36" s="1" t="s">
        <v>49</v>
      </c>
      <c r="E36" s="1" t="s">
        <v>19</v>
      </c>
      <c r="F36" s="1">
        <v>5</v>
      </c>
      <c r="G36" s="1">
        <v>27000</v>
      </c>
      <c r="H36" s="1">
        <v>20250</v>
      </c>
      <c r="I36" s="1">
        <v>6750</v>
      </c>
    </row>
    <row r="37" spans="1:9" x14ac:dyDescent="0.25">
      <c r="A37" s="1" t="s">
        <v>50</v>
      </c>
      <c r="B37" s="2">
        <v>46104</v>
      </c>
      <c r="C37" s="1" t="s">
        <v>25</v>
      </c>
      <c r="D37" s="1" t="s">
        <v>51</v>
      </c>
      <c r="E37" s="1" t="s">
        <v>23</v>
      </c>
      <c r="F37" s="1">
        <v>9</v>
      </c>
      <c r="G37" s="1">
        <v>19800</v>
      </c>
      <c r="H37" s="1">
        <v>14850</v>
      </c>
      <c r="I37" s="1">
        <v>4950</v>
      </c>
    </row>
    <row r="38" spans="1:9" x14ac:dyDescent="0.25">
      <c r="A38" s="1" t="s">
        <v>52</v>
      </c>
      <c r="B38" s="2">
        <v>46109</v>
      </c>
      <c r="C38" s="1" t="s">
        <v>28</v>
      </c>
      <c r="D38" s="1" t="s">
        <v>53</v>
      </c>
      <c r="E38" s="1" t="s">
        <v>12</v>
      </c>
      <c r="F38" s="1">
        <v>2</v>
      </c>
      <c r="G38" s="1">
        <v>192000</v>
      </c>
      <c r="H38" s="1">
        <v>144000</v>
      </c>
      <c r="I38" s="1">
        <v>48000</v>
      </c>
    </row>
    <row r="39" spans="1:9" x14ac:dyDescent="0.25">
      <c r="A39" s="1" t="s">
        <v>54</v>
      </c>
      <c r="B39" s="2">
        <v>46116</v>
      </c>
      <c r="C39" s="1" t="s">
        <v>10</v>
      </c>
      <c r="D39" s="1" t="s">
        <v>55</v>
      </c>
      <c r="E39" s="1" t="s">
        <v>16</v>
      </c>
      <c r="F39" s="1">
        <v>1</v>
      </c>
      <c r="G39" s="1">
        <v>31500</v>
      </c>
      <c r="H39" s="1">
        <v>23625</v>
      </c>
      <c r="I39" s="1">
        <v>7875</v>
      </c>
    </row>
    <row r="40" spans="1:9" x14ac:dyDescent="0.25">
      <c r="A40" s="1" t="s">
        <v>56</v>
      </c>
      <c r="B40" s="2">
        <v>46122</v>
      </c>
      <c r="C40" s="1" t="s">
        <v>14</v>
      </c>
      <c r="D40" s="1" t="s">
        <v>57</v>
      </c>
      <c r="E40" s="1" t="s">
        <v>35</v>
      </c>
      <c r="F40" s="1">
        <v>4</v>
      </c>
      <c r="G40" s="1">
        <v>106000</v>
      </c>
      <c r="H40" s="1">
        <v>79500</v>
      </c>
      <c r="I40" s="1">
        <v>26500</v>
      </c>
    </row>
    <row r="41" spans="1:9" x14ac:dyDescent="0.25">
      <c r="A41" s="1" t="s">
        <v>58</v>
      </c>
      <c r="B41" s="2">
        <v>46127</v>
      </c>
      <c r="C41" s="1" t="s">
        <v>21</v>
      </c>
      <c r="D41" s="1" t="s">
        <v>59</v>
      </c>
      <c r="E41" s="1" t="s">
        <v>32</v>
      </c>
      <c r="F41" s="1">
        <v>5</v>
      </c>
      <c r="G41" s="1">
        <v>28000</v>
      </c>
      <c r="H41" s="1">
        <v>21000</v>
      </c>
      <c r="I41" s="1">
        <v>7000</v>
      </c>
    </row>
    <row r="42" spans="1:9" x14ac:dyDescent="0.25">
      <c r="A42" s="1"/>
      <c r="B42" s="1"/>
      <c r="C42" s="1"/>
      <c r="D42" s="1"/>
      <c r="E42" s="1"/>
      <c r="F42" s="1"/>
      <c r="G42" s="1"/>
      <c r="H42" s="1"/>
      <c r="I42" s="1"/>
    </row>
    <row r="43" spans="1:9" x14ac:dyDescent="0.25">
      <c r="A43" s="1"/>
      <c r="B43" s="1"/>
      <c r="C43" s="1"/>
      <c r="D43" s="1"/>
      <c r="E43" s="1"/>
      <c r="F43" s="1"/>
      <c r="G43" s="1"/>
      <c r="H43" s="1"/>
      <c r="I43"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F53C7-4719-4B11-89D8-E59D74C2B1DD}">
  <dimension ref="A3:K48"/>
  <sheetViews>
    <sheetView topLeftCell="A10" zoomScale="85" zoomScaleNormal="85" workbookViewId="0">
      <selection activeCell="AA32" sqref="AA32"/>
    </sheetView>
  </sheetViews>
  <sheetFormatPr defaultRowHeight="15" x14ac:dyDescent="0.25"/>
  <cols>
    <col min="1" max="1" width="17.140625" bestFit="1" customWidth="1"/>
    <col min="2" max="2" width="20" bestFit="1" customWidth="1"/>
    <col min="5" max="5" width="13.5703125" bestFit="1" customWidth="1"/>
    <col min="6" max="6" width="20" bestFit="1" customWidth="1"/>
    <col min="7" max="7" width="10.42578125" bestFit="1" customWidth="1"/>
    <col min="8" max="8" width="9.7109375" bestFit="1" customWidth="1"/>
    <col min="9" max="9" width="13.7109375" bestFit="1" customWidth="1"/>
    <col min="10" max="10" width="23.5703125" bestFit="1" customWidth="1"/>
    <col min="11" max="11" width="10.85546875" bestFit="1" customWidth="1"/>
    <col min="12" max="12" width="9.85546875" bestFit="1" customWidth="1"/>
    <col min="13" max="13" width="16.5703125" bestFit="1" customWidth="1"/>
    <col min="27" max="27" width="22.7109375" bestFit="1" customWidth="1"/>
    <col min="29" max="29" width="10.85546875" bestFit="1" customWidth="1"/>
    <col min="30" max="30" width="13.7109375" bestFit="1" customWidth="1"/>
  </cols>
  <sheetData>
    <row r="3" spans="1:2" x14ac:dyDescent="0.25">
      <c r="A3" s="6" t="s">
        <v>2</v>
      </c>
      <c r="B3" s="6" t="s">
        <v>67</v>
      </c>
    </row>
    <row r="4" spans="1:2" x14ac:dyDescent="0.25">
      <c r="A4" s="7" t="s">
        <v>14</v>
      </c>
      <c r="B4" s="15">
        <v>504000</v>
      </c>
    </row>
    <row r="5" spans="1:2" x14ac:dyDescent="0.25">
      <c r="A5" s="7" t="s">
        <v>10</v>
      </c>
      <c r="B5" s="15">
        <v>862000</v>
      </c>
    </row>
    <row r="6" spans="1:2" x14ac:dyDescent="0.25">
      <c r="A6" s="7" t="s">
        <v>28</v>
      </c>
      <c r="B6" s="15">
        <v>559000</v>
      </c>
    </row>
    <row r="7" spans="1:2" x14ac:dyDescent="0.25">
      <c r="A7" s="7" t="s">
        <v>25</v>
      </c>
      <c r="B7" s="15">
        <v>353500</v>
      </c>
    </row>
    <row r="8" spans="1:2" x14ac:dyDescent="0.25">
      <c r="A8" s="7" t="s">
        <v>21</v>
      </c>
      <c r="B8" s="15">
        <v>213500</v>
      </c>
    </row>
    <row r="9" spans="1:2" x14ac:dyDescent="0.25">
      <c r="A9" s="7" t="s">
        <v>66</v>
      </c>
      <c r="B9" s="15">
        <v>2492000</v>
      </c>
    </row>
    <row r="17" spans="1:6" x14ac:dyDescent="0.25">
      <c r="A17" s="8" t="s">
        <v>3</v>
      </c>
      <c r="B17" s="8" t="s">
        <v>67</v>
      </c>
      <c r="E17" s="10" t="s">
        <v>4</v>
      </c>
      <c r="F17" s="10" t="s">
        <v>67</v>
      </c>
    </row>
    <row r="18" spans="1:6" x14ac:dyDescent="0.25">
      <c r="A18" s="9" t="s">
        <v>45</v>
      </c>
      <c r="B18" s="17">
        <v>66000</v>
      </c>
      <c r="E18" s="11" t="s">
        <v>32</v>
      </c>
      <c r="F18" s="16">
        <v>190000</v>
      </c>
    </row>
    <row r="19" spans="1:6" x14ac:dyDescent="0.25">
      <c r="A19" s="9" t="s">
        <v>39</v>
      </c>
      <c r="B19" s="17">
        <v>34700</v>
      </c>
      <c r="E19" s="11" t="s">
        <v>19</v>
      </c>
      <c r="F19" s="16">
        <v>156500</v>
      </c>
    </row>
    <row r="20" spans="1:6" x14ac:dyDescent="0.25">
      <c r="A20" s="9" t="s">
        <v>31</v>
      </c>
      <c r="B20" s="17">
        <v>52000</v>
      </c>
      <c r="E20" s="11" t="s">
        <v>12</v>
      </c>
      <c r="F20" s="16">
        <v>1121000</v>
      </c>
    </row>
    <row r="21" spans="1:6" x14ac:dyDescent="0.25">
      <c r="A21" s="9" t="s">
        <v>41</v>
      </c>
      <c r="B21" s="17">
        <v>287000</v>
      </c>
      <c r="E21" s="11" t="s">
        <v>16</v>
      </c>
      <c r="F21" s="16">
        <v>548500</v>
      </c>
    </row>
    <row r="22" spans="1:6" x14ac:dyDescent="0.25">
      <c r="A22" s="9" t="s">
        <v>34</v>
      </c>
      <c r="B22" s="17">
        <v>128000</v>
      </c>
      <c r="E22" s="11" t="s">
        <v>23</v>
      </c>
      <c r="F22" s="16">
        <v>105000</v>
      </c>
    </row>
    <row r="23" spans="1:6" x14ac:dyDescent="0.25">
      <c r="A23" s="9" t="s">
        <v>18</v>
      </c>
      <c r="B23" s="17">
        <v>41500</v>
      </c>
      <c r="E23" s="11" t="s">
        <v>35</v>
      </c>
      <c r="F23" s="16">
        <v>371000</v>
      </c>
    </row>
    <row r="24" spans="1:6" x14ac:dyDescent="0.25">
      <c r="A24" s="9" t="s">
        <v>57</v>
      </c>
      <c r="B24" s="17">
        <v>158000</v>
      </c>
      <c r="E24" s="11" t="s">
        <v>66</v>
      </c>
      <c r="F24" s="16">
        <v>2492000</v>
      </c>
    </row>
    <row r="25" spans="1:6" x14ac:dyDescent="0.25">
      <c r="A25" s="9" t="s">
        <v>49</v>
      </c>
      <c r="B25" s="17">
        <v>62000</v>
      </c>
    </row>
    <row r="26" spans="1:6" x14ac:dyDescent="0.25">
      <c r="A26" s="9" t="s">
        <v>29</v>
      </c>
      <c r="B26" s="17">
        <v>91000</v>
      </c>
    </row>
    <row r="27" spans="1:6" x14ac:dyDescent="0.25">
      <c r="A27" s="9" t="s">
        <v>51</v>
      </c>
      <c r="B27" s="17">
        <v>43800</v>
      </c>
    </row>
    <row r="28" spans="1:6" x14ac:dyDescent="0.25">
      <c r="A28" s="9" t="s">
        <v>15</v>
      </c>
      <c r="B28" s="17">
        <v>152000</v>
      </c>
    </row>
    <row r="29" spans="1:6" x14ac:dyDescent="0.25">
      <c r="A29" s="9" t="s">
        <v>59</v>
      </c>
      <c r="B29" s="17">
        <v>72000</v>
      </c>
      <c r="E29" s="4" t="s">
        <v>72</v>
      </c>
      <c r="F29" t="s">
        <v>67</v>
      </c>
    </row>
    <row r="30" spans="1:6" x14ac:dyDescent="0.25">
      <c r="A30" s="9" t="s">
        <v>47</v>
      </c>
      <c r="B30" s="17">
        <v>85000</v>
      </c>
      <c r="E30" s="5" t="s">
        <v>68</v>
      </c>
      <c r="F30" s="14">
        <v>858000</v>
      </c>
    </row>
    <row r="31" spans="1:6" x14ac:dyDescent="0.25">
      <c r="A31" s="9" t="s">
        <v>11</v>
      </c>
      <c r="B31" s="17">
        <v>272000</v>
      </c>
      <c r="E31" s="5" t="s">
        <v>69</v>
      </c>
      <c r="F31" s="14">
        <v>554700</v>
      </c>
    </row>
    <row r="32" spans="1:6" x14ac:dyDescent="0.25">
      <c r="A32" s="9" t="s">
        <v>22</v>
      </c>
      <c r="B32" s="17">
        <v>26500</v>
      </c>
      <c r="E32" s="5" t="s">
        <v>70</v>
      </c>
      <c r="F32" s="14">
        <v>724800</v>
      </c>
    </row>
    <row r="33" spans="1:11" x14ac:dyDescent="0.25">
      <c r="A33" s="9" t="s">
        <v>37</v>
      </c>
      <c r="B33" s="17">
        <v>53000</v>
      </c>
      <c r="E33" s="5" t="s">
        <v>71</v>
      </c>
      <c r="F33" s="14">
        <v>354500</v>
      </c>
    </row>
    <row r="34" spans="1:11" x14ac:dyDescent="0.25">
      <c r="A34" s="9" t="s">
        <v>53</v>
      </c>
      <c r="B34" s="17">
        <v>287000</v>
      </c>
      <c r="E34" s="5" t="s">
        <v>66</v>
      </c>
      <c r="F34" s="14">
        <v>2492000</v>
      </c>
    </row>
    <row r="35" spans="1:11" x14ac:dyDescent="0.25">
      <c r="A35" s="9" t="s">
        <v>43</v>
      </c>
      <c r="B35" s="17">
        <v>181000</v>
      </c>
    </row>
    <row r="36" spans="1:11" x14ac:dyDescent="0.25">
      <c r="A36" s="9" t="s">
        <v>55</v>
      </c>
      <c r="B36" s="17">
        <v>124500</v>
      </c>
    </row>
    <row r="37" spans="1:11" x14ac:dyDescent="0.25">
      <c r="A37" s="9" t="s">
        <v>26</v>
      </c>
      <c r="B37" s="17">
        <v>275000</v>
      </c>
    </row>
    <row r="38" spans="1:11" x14ac:dyDescent="0.25">
      <c r="A38" s="9" t="s">
        <v>66</v>
      </c>
      <c r="B38" s="17">
        <v>2492000</v>
      </c>
    </row>
    <row r="47" spans="1:11" x14ac:dyDescent="0.25">
      <c r="G47" s="6" t="s">
        <v>60</v>
      </c>
      <c r="H47" s="6" t="s">
        <v>64</v>
      </c>
      <c r="I47" s="6" t="s">
        <v>61</v>
      </c>
      <c r="J47" s="6" t="s">
        <v>73</v>
      </c>
      <c r="K47" s="6" t="s">
        <v>63</v>
      </c>
    </row>
    <row r="48" spans="1:11" x14ac:dyDescent="0.25">
      <c r="G48" s="15">
        <v>2492000</v>
      </c>
      <c r="H48" s="15">
        <v>1869000</v>
      </c>
      <c r="I48" s="15">
        <v>160</v>
      </c>
      <c r="J48" s="15">
        <v>62300</v>
      </c>
      <c r="K48" s="15">
        <v>623000</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2665-B453-4178-9533-9E6A89D72D54}">
  <dimension ref="B3:E17"/>
  <sheetViews>
    <sheetView topLeftCell="A16" workbookViewId="0">
      <selection activeCell="F21" sqref="F21"/>
    </sheetView>
  </sheetViews>
  <sheetFormatPr defaultRowHeight="15" x14ac:dyDescent="0.25"/>
  <cols>
    <col min="2" max="2" width="9.7109375" bestFit="1" customWidth="1"/>
    <col min="3" max="3" width="13.7109375" bestFit="1" customWidth="1"/>
    <col min="4" max="4" width="16.5703125" bestFit="1" customWidth="1"/>
    <col min="5" max="5" width="13.7109375" bestFit="1" customWidth="1"/>
    <col min="6" max="6" width="9.7109375" bestFit="1" customWidth="1"/>
    <col min="7" max="7" width="16.5703125" bestFit="1" customWidth="1"/>
    <col min="8" max="40" width="16.28515625" bestFit="1" customWidth="1"/>
    <col min="41" max="41" width="11.28515625" bestFit="1" customWidth="1"/>
  </cols>
  <sheetData>
    <row r="3" spans="2:5" x14ac:dyDescent="0.25">
      <c r="B3" t="s">
        <v>60</v>
      </c>
    </row>
    <row r="4" spans="2:5" x14ac:dyDescent="0.25">
      <c r="B4" s="14">
        <v>2492000</v>
      </c>
    </row>
    <row r="6" spans="2:5" x14ac:dyDescent="0.25">
      <c r="E6" t="s">
        <v>61</v>
      </c>
    </row>
    <row r="7" spans="2:5" x14ac:dyDescent="0.25">
      <c r="E7" s="14">
        <v>160</v>
      </c>
    </row>
    <row r="8" spans="2:5" x14ac:dyDescent="0.25">
      <c r="B8" t="s">
        <v>62</v>
      </c>
    </row>
    <row r="9" spans="2:5" x14ac:dyDescent="0.25">
      <c r="B9" s="14">
        <v>62300</v>
      </c>
    </row>
    <row r="11" spans="2:5" x14ac:dyDescent="0.25">
      <c r="D11" t="s">
        <v>63</v>
      </c>
    </row>
    <row r="12" spans="2:5" x14ac:dyDescent="0.25">
      <c r="D12" s="14">
        <v>623000</v>
      </c>
    </row>
    <row r="13" spans="2:5" x14ac:dyDescent="0.25">
      <c r="B13" t="s">
        <v>64</v>
      </c>
    </row>
    <row r="14" spans="2:5" x14ac:dyDescent="0.25">
      <c r="B14" s="14">
        <v>1869000</v>
      </c>
    </row>
    <row r="16" spans="2:5" x14ac:dyDescent="0.25">
      <c r="D16" t="s">
        <v>65</v>
      </c>
    </row>
    <row r="17" spans="4:4" x14ac:dyDescent="0.25">
      <c r="D17" s="3">
        <v>0.25</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CFFB3-E3F3-414F-A63F-1884893BBA36}">
  <dimension ref="G3:AM59"/>
  <sheetViews>
    <sheetView tabSelected="1" topLeftCell="D10" zoomScale="70" zoomScaleNormal="70" workbookViewId="0">
      <selection activeCell="AG26" sqref="AG26"/>
    </sheetView>
  </sheetViews>
  <sheetFormatPr defaultRowHeight="15" x14ac:dyDescent="0.25"/>
  <cols>
    <col min="38" max="38" width="13" bestFit="1" customWidth="1"/>
  </cols>
  <sheetData>
    <row r="3" spans="7:29" ht="9.75" customHeight="1" x14ac:dyDescent="0.25"/>
    <row r="11" spans="7:29" x14ac:dyDescent="0.25">
      <c r="G11" s="12"/>
      <c r="H11" s="12"/>
      <c r="I11" s="12"/>
      <c r="J11" s="12"/>
      <c r="K11" s="12"/>
      <c r="L11" s="12"/>
      <c r="M11" s="12"/>
      <c r="N11" s="12"/>
      <c r="O11" s="12"/>
      <c r="P11" s="12"/>
      <c r="Q11" s="12"/>
      <c r="R11" s="12"/>
      <c r="S11" s="12"/>
      <c r="T11" s="12"/>
      <c r="U11" s="12"/>
      <c r="V11" s="12"/>
      <c r="W11" s="12"/>
      <c r="X11" s="12"/>
      <c r="Y11" s="12"/>
      <c r="Z11" s="12"/>
      <c r="AA11" s="12"/>
      <c r="AB11" s="12"/>
      <c r="AC11" s="12"/>
    </row>
    <row r="12" spans="7:29" x14ac:dyDescent="0.25">
      <c r="G12" s="12"/>
      <c r="H12" s="12"/>
      <c r="I12" s="12"/>
      <c r="J12" s="12"/>
      <c r="K12" s="12"/>
      <c r="L12" s="12"/>
      <c r="M12" s="12"/>
      <c r="N12" s="12"/>
      <c r="O12" s="12"/>
      <c r="P12" s="12"/>
      <c r="Q12" s="12"/>
      <c r="R12" s="12"/>
      <c r="S12" s="12"/>
      <c r="T12" s="12"/>
      <c r="U12" s="12"/>
      <c r="V12" s="12"/>
      <c r="W12" s="12"/>
      <c r="X12" s="12"/>
      <c r="Y12" s="12"/>
      <c r="Z12" s="12"/>
      <c r="AA12" s="12"/>
      <c r="AB12" s="12"/>
      <c r="AC12" s="12"/>
    </row>
    <row r="13" spans="7:29" x14ac:dyDescent="0.25">
      <c r="G13" s="12"/>
      <c r="H13" s="12"/>
      <c r="I13" s="12"/>
      <c r="J13" s="12"/>
      <c r="K13" s="12"/>
      <c r="L13" s="12"/>
      <c r="M13" s="12"/>
      <c r="N13" s="12"/>
      <c r="O13" s="12"/>
      <c r="P13" s="12"/>
      <c r="Q13" s="12"/>
      <c r="R13" s="12"/>
      <c r="S13" s="12"/>
      <c r="T13" s="12"/>
      <c r="U13" s="12"/>
      <c r="V13" s="12"/>
      <c r="W13" s="12"/>
      <c r="X13" s="12"/>
      <c r="Y13" s="12"/>
      <c r="Z13" s="12"/>
      <c r="AA13" s="12"/>
      <c r="AB13" s="12"/>
      <c r="AC13" s="12"/>
    </row>
    <row r="14" spans="7:29" x14ac:dyDescent="0.25">
      <c r="G14" s="12"/>
      <c r="H14" s="12"/>
      <c r="I14" s="12"/>
      <c r="J14" s="12"/>
      <c r="K14" s="12"/>
      <c r="L14" s="12"/>
      <c r="M14" s="12"/>
      <c r="N14" s="12"/>
      <c r="O14" s="12"/>
      <c r="P14" s="12"/>
      <c r="Q14" s="12"/>
      <c r="R14" s="12"/>
      <c r="S14" s="12"/>
      <c r="T14" s="12"/>
      <c r="U14" s="12"/>
      <c r="V14" s="12"/>
      <c r="W14" s="12"/>
      <c r="X14" s="12"/>
      <c r="Y14" s="12"/>
      <c r="Z14" s="12"/>
      <c r="AA14" s="12"/>
      <c r="AB14" s="12"/>
      <c r="AC14" s="12"/>
    </row>
    <row r="15" spans="7:29" x14ac:dyDescent="0.25">
      <c r="G15" s="12"/>
      <c r="H15" s="12"/>
      <c r="I15" s="12"/>
      <c r="J15" s="12"/>
      <c r="K15" s="12"/>
      <c r="L15" s="12"/>
      <c r="M15" s="12"/>
      <c r="N15" s="12"/>
      <c r="O15" s="12"/>
      <c r="P15" s="12"/>
      <c r="Q15" s="12"/>
      <c r="R15" s="12"/>
      <c r="S15" s="12"/>
      <c r="T15" s="12"/>
      <c r="U15" s="12"/>
      <c r="V15" s="12"/>
      <c r="W15" s="12"/>
      <c r="X15" s="12"/>
      <c r="Y15" s="12"/>
      <c r="Z15" s="12"/>
      <c r="AA15" s="12"/>
      <c r="AB15" s="12"/>
      <c r="AC15" s="12"/>
    </row>
    <row r="16" spans="7:29" x14ac:dyDescent="0.25">
      <c r="G16" s="12"/>
      <c r="H16" s="12"/>
      <c r="I16" s="12"/>
      <c r="J16" s="12"/>
      <c r="K16" s="12"/>
      <c r="L16" s="12"/>
      <c r="M16" s="12"/>
      <c r="N16" s="12"/>
      <c r="O16" s="12"/>
      <c r="P16" s="12"/>
      <c r="Q16" s="12"/>
      <c r="R16" s="12"/>
      <c r="S16" s="12"/>
      <c r="T16" s="12"/>
      <c r="U16" s="12"/>
      <c r="V16" s="12"/>
      <c r="W16" s="12"/>
      <c r="X16" s="12"/>
      <c r="Y16" s="12"/>
      <c r="Z16" s="12"/>
      <c r="AA16" s="12"/>
      <c r="AB16" s="12"/>
      <c r="AC16" s="12"/>
    </row>
    <row r="17" spans="7:32" x14ac:dyDescent="0.25">
      <c r="G17" s="12"/>
      <c r="H17" s="12"/>
      <c r="I17" s="12"/>
      <c r="J17" s="12"/>
      <c r="K17" s="12"/>
      <c r="L17" s="12"/>
      <c r="M17" s="12"/>
      <c r="N17" s="12"/>
      <c r="O17" s="12"/>
      <c r="P17" s="12"/>
      <c r="Q17" s="12"/>
      <c r="R17" s="12"/>
      <c r="S17" s="12"/>
      <c r="T17" s="12"/>
      <c r="U17" s="12"/>
      <c r="V17" s="12"/>
      <c r="W17" s="12"/>
      <c r="X17" s="12"/>
      <c r="Y17" s="12"/>
      <c r="Z17" s="12"/>
      <c r="AA17" s="12"/>
      <c r="AB17" s="12"/>
      <c r="AC17" s="12"/>
    </row>
    <row r="18" spans="7:32" x14ac:dyDescent="0.25">
      <c r="G18" s="12"/>
      <c r="H18" s="12"/>
      <c r="I18" s="12"/>
      <c r="J18" s="12"/>
      <c r="K18" s="12"/>
      <c r="L18" s="12"/>
      <c r="M18" s="12"/>
      <c r="N18" s="12"/>
      <c r="O18" s="12"/>
      <c r="P18" s="12"/>
      <c r="Q18" s="12"/>
      <c r="R18" s="12"/>
      <c r="S18" s="12"/>
      <c r="T18" s="12"/>
      <c r="U18" s="12"/>
      <c r="V18" s="12"/>
      <c r="W18" s="12"/>
      <c r="X18" s="12"/>
      <c r="Y18" s="12"/>
      <c r="Z18" s="12"/>
      <c r="AA18" s="12"/>
      <c r="AB18" s="12"/>
      <c r="AC18" s="12"/>
    </row>
    <row r="19" spans="7:32" x14ac:dyDescent="0.25">
      <c r="G19" s="12"/>
      <c r="H19" s="12"/>
      <c r="I19" s="12"/>
      <c r="J19" s="12"/>
      <c r="K19" s="12"/>
      <c r="L19" s="12"/>
      <c r="M19" s="12"/>
      <c r="N19" s="12"/>
      <c r="O19" s="12"/>
      <c r="P19" s="12"/>
      <c r="Q19" s="12"/>
      <c r="R19" s="12"/>
      <c r="S19" s="12"/>
      <c r="T19" s="12"/>
      <c r="U19" s="12"/>
      <c r="V19" s="12"/>
      <c r="W19" s="12"/>
      <c r="X19" s="12"/>
      <c r="Y19" s="12"/>
      <c r="Z19" s="12"/>
      <c r="AA19" s="12"/>
      <c r="AB19" s="12"/>
      <c r="AC19" s="12"/>
    </row>
    <row r="20" spans="7:32" x14ac:dyDescent="0.25">
      <c r="G20" s="12"/>
      <c r="H20" s="12"/>
      <c r="I20" s="12"/>
      <c r="J20" s="12"/>
      <c r="K20" s="12"/>
      <c r="L20" s="12"/>
      <c r="M20" s="12"/>
      <c r="N20" s="12"/>
      <c r="O20" s="12"/>
      <c r="P20" s="12"/>
      <c r="Q20" s="12"/>
      <c r="R20" s="12"/>
      <c r="S20" s="12"/>
      <c r="T20" s="12"/>
      <c r="U20" s="12"/>
      <c r="V20" s="12"/>
      <c r="W20" s="12"/>
      <c r="X20" s="12"/>
      <c r="Y20" s="12"/>
      <c r="Z20" s="12"/>
      <c r="AA20" s="12"/>
      <c r="AB20" s="12"/>
      <c r="AC20" s="12"/>
    </row>
    <row r="21" spans="7:32" x14ac:dyDescent="0.25">
      <c r="G21" s="12"/>
      <c r="H21" s="12"/>
      <c r="I21" s="12"/>
      <c r="J21" s="12"/>
      <c r="K21" s="12"/>
      <c r="L21" s="12"/>
      <c r="M21" s="12"/>
      <c r="N21" s="12"/>
      <c r="O21" s="12"/>
      <c r="P21" s="12"/>
      <c r="Q21" s="12"/>
      <c r="R21" s="12"/>
      <c r="S21" s="12"/>
      <c r="T21" s="12"/>
      <c r="U21" s="12"/>
      <c r="V21" s="12"/>
      <c r="W21" s="12"/>
      <c r="X21" s="12"/>
      <c r="Y21" s="12"/>
      <c r="Z21" s="12"/>
      <c r="AA21" s="12"/>
      <c r="AB21" s="12"/>
      <c r="AC21" s="12"/>
    </row>
    <row r="22" spans="7:32" x14ac:dyDescent="0.25">
      <c r="G22" s="12"/>
      <c r="H22" s="12"/>
      <c r="I22" s="12"/>
      <c r="J22" s="12"/>
      <c r="K22" s="12"/>
      <c r="L22" s="12"/>
      <c r="M22" s="12"/>
      <c r="N22" s="12"/>
      <c r="O22" s="12"/>
      <c r="P22" s="12"/>
      <c r="Q22" s="12"/>
      <c r="R22" s="12"/>
      <c r="S22" s="12"/>
      <c r="T22" s="12"/>
      <c r="U22" s="12"/>
      <c r="V22" s="12"/>
      <c r="W22" s="12"/>
      <c r="X22" s="12"/>
      <c r="Y22" s="12"/>
      <c r="Z22" s="12"/>
      <c r="AA22" s="12"/>
      <c r="AB22" s="12"/>
      <c r="AC22" s="12"/>
    </row>
    <row r="23" spans="7:32" x14ac:dyDescent="0.25">
      <c r="G23" s="12"/>
      <c r="H23" s="12"/>
      <c r="I23" s="12"/>
      <c r="J23" s="12"/>
      <c r="K23" s="12"/>
      <c r="L23" s="12"/>
      <c r="M23" s="12"/>
      <c r="N23" s="12"/>
      <c r="O23" s="12"/>
      <c r="P23" s="12"/>
      <c r="Q23" s="12"/>
      <c r="R23" s="12"/>
      <c r="S23" s="12"/>
      <c r="T23" s="12"/>
      <c r="U23" s="12"/>
      <c r="V23" s="12"/>
      <c r="W23" s="12"/>
      <c r="X23" s="12"/>
      <c r="Y23" s="12"/>
      <c r="Z23" s="12"/>
      <c r="AA23" s="12"/>
      <c r="AB23" s="12"/>
      <c r="AC23" s="12"/>
    </row>
    <row r="24" spans="7:32" x14ac:dyDescent="0.25">
      <c r="G24" s="12"/>
      <c r="H24" s="12"/>
      <c r="I24" s="12"/>
      <c r="J24" s="12"/>
      <c r="K24" s="12"/>
      <c r="L24" s="12"/>
      <c r="M24" s="12"/>
      <c r="N24" s="12"/>
      <c r="O24" s="12"/>
      <c r="P24" s="12"/>
      <c r="Q24" s="12"/>
      <c r="R24" s="12"/>
      <c r="S24" s="12"/>
      <c r="T24" s="12"/>
      <c r="U24" s="12"/>
      <c r="V24" s="12"/>
      <c r="W24" s="12"/>
      <c r="X24" s="12"/>
      <c r="Y24" s="12"/>
      <c r="Z24" s="12"/>
      <c r="AA24" s="12"/>
      <c r="AB24" s="12"/>
      <c r="AC24" s="12"/>
    </row>
    <row r="25" spans="7:32" ht="21" x14ac:dyDescent="0.25">
      <c r="G25" s="12"/>
      <c r="H25" s="12"/>
      <c r="I25" s="12"/>
      <c r="J25" s="12"/>
      <c r="K25" s="12"/>
      <c r="L25" s="12"/>
      <c r="M25" s="12"/>
      <c r="N25" s="12"/>
      <c r="O25" s="12"/>
      <c r="P25" s="12"/>
      <c r="Q25" s="12"/>
      <c r="R25" s="12"/>
      <c r="S25" s="12"/>
      <c r="T25" s="12"/>
      <c r="U25" s="12"/>
      <c r="V25" s="12"/>
      <c r="W25" s="12"/>
      <c r="X25" s="12"/>
      <c r="Y25" s="12"/>
      <c r="Z25" s="12"/>
      <c r="AA25" s="12"/>
      <c r="AB25" s="12"/>
      <c r="AC25" s="12"/>
      <c r="AF25" s="18"/>
    </row>
    <row r="26" spans="7:32" ht="26.25" x14ac:dyDescent="0.25">
      <c r="G26" s="12"/>
      <c r="H26" s="12"/>
      <c r="I26" s="12"/>
      <c r="J26" s="12"/>
      <c r="K26" s="12"/>
      <c r="L26" s="12"/>
      <c r="M26" s="12"/>
      <c r="N26" s="12"/>
      <c r="O26" s="12"/>
      <c r="P26" s="12"/>
      <c r="Q26" s="12"/>
      <c r="R26" s="12"/>
      <c r="S26" s="12"/>
      <c r="T26" s="12"/>
      <c r="U26" s="12"/>
      <c r="V26" s="12"/>
      <c r="W26" s="12"/>
      <c r="X26" s="12"/>
      <c r="Y26" s="12"/>
      <c r="Z26" s="12"/>
      <c r="AA26" s="12"/>
      <c r="AB26" s="12"/>
      <c r="AC26" s="12"/>
      <c r="AF26" s="19"/>
    </row>
    <row r="27" spans="7:32" x14ac:dyDescent="0.25">
      <c r="G27" s="12"/>
      <c r="H27" s="12"/>
      <c r="I27" s="12"/>
      <c r="J27" s="12"/>
      <c r="K27" s="12"/>
      <c r="L27" s="12"/>
      <c r="M27" s="12"/>
      <c r="N27" s="12"/>
      <c r="O27" s="12"/>
      <c r="P27" s="12"/>
      <c r="Q27" s="12"/>
      <c r="R27" s="12"/>
      <c r="S27" s="12"/>
      <c r="T27" s="12"/>
      <c r="U27" s="12"/>
      <c r="V27" s="12"/>
      <c r="W27" s="12"/>
      <c r="X27" s="12"/>
      <c r="Y27" s="12"/>
      <c r="Z27" s="12"/>
      <c r="AA27" s="12"/>
      <c r="AB27" s="12"/>
      <c r="AC27" s="12"/>
    </row>
    <row r="28" spans="7:32" x14ac:dyDescent="0.25">
      <c r="G28" s="12"/>
      <c r="H28" s="12"/>
      <c r="I28" s="12"/>
      <c r="J28" s="12"/>
      <c r="K28" s="12"/>
      <c r="L28" s="12"/>
      <c r="M28" s="12"/>
      <c r="N28" s="12"/>
      <c r="O28" s="12"/>
      <c r="P28" s="12"/>
      <c r="Q28" s="12"/>
      <c r="R28" s="12"/>
      <c r="S28" s="12"/>
      <c r="T28" s="12"/>
      <c r="U28" s="12"/>
      <c r="V28" s="12"/>
      <c r="W28" s="12"/>
      <c r="X28" s="12"/>
      <c r="Y28" s="12"/>
      <c r="Z28" s="12"/>
      <c r="AA28" s="12"/>
      <c r="AB28" s="12"/>
      <c r="AC28" s="12"/>
    </row>
    <row r="29" spans="7:32" x14ac:dyDescent="0.25">
      <c r="G29" s="12"/>
      <c r="H29" s="12"/>
      <c r="I29" s="12"/>
      <c r="J29" s="12"/>
      <c r="K29" s="12"/>
      <c r="L29" s="12"/>
      <c r="M29" s="12"/>
      <c r="N29" s="12"/>
      <c r="O29" s="12"/>
      <c r="P29" s="12"/>
      <c r="Q29" s="12"/>
      <c r="R29" s="12"/>
      <c r="S29" s="12"/>
      <c r="T29" s="12"/>
      <c r="U29" s="12"/>
      <c r="V29" s="12"/>
      <c r="W29" s="12"/>
      <c r="X29" s="12"/>
      <c r="Y29" s="12"/>
      <c r="Z29" s="12"/>
      <c r="AA29" s="12"/>
      <c r="AB29" s="12"/>
      <c r="AC29" s="12"/>
    </row>
    <row r="30" spans="7:32" x14ac:dyDescent="0.25">
      <c r="G30" s="12"/>
      <c r="H30" s="12"/>
      <c r="I30" s="12"/>
      <c r="J30" s="12"/>
      <c r="K30" s="12"/>
      <c r="L30" s="12"/>
      <c r="M30" s="12"/>
      <c r="N30" s="12"/>
      <c r="O30" s="12"/>
      <c r="P30" s="12"/>
      <c r="Q30" s="12"/>
      <c r="R30" s="12"/>
      <c r="S30" s="12"/>
      <c r="T30" s="12"/>
      <c r="U30" s="12"/>
      <c r="V30" s="12"/>
      <c r="W30" s="12"/>
      <c r="X30" s="12"/>
      <c r="Y30" s="12"/>
      <c r="Z30" s="12"/>
      <c r="AA30" s="12"/>
      <c r="AB30" s="12"/>
      <c r="AC30" s="12"/>
    </row>
    <row r="31" spans="7:32" x14ac:dyDescent="0.25">
      <c r="G31" s="12"/>
      <c r="H31" s="12"/>
      <c r="I31" s="12"/>
      <c r="J31" s="12"/>
      <c r="K31" s="12"/>
      <c r="L31" s="12"/>
      <c r="M31" s="12"/>
      <c r="N31" s="12"/>
      <c r="O31" s="12"/>
      <c r="P31" s="12"/>
      <c r="Q31" s="12"/>
      <c r="R31" s="12"/>
      <c r="S31" s="12"/>
      <c r="T31" s="12"/>
      <c r="U31" s="12"/>
      <c r="V31" s="12"/>
      <c r="W31" s="12"/>
      <c r="X31" s="12"/>
      <c r="Y31" s="12"/>
      <c r="Z31" s="12"/>
      <c r="AA31" s="12"/>
      <c r="AB31" s="12"/>
      <c r="AC31" s="12"/>
    </row>
    <row r="32" spans="7:32" x14ac:dyDescent="0.25">
      <c r="G32" s="12"/>
      <c r="H32" s="12"/>
      <c r="I32" s="12"/>
      <c r="J32" s="12"/>
      <c r="K32" s="12"/>
      <c r="L32" s="12"/>
      <c r="M32" s="12"/>
      <c r="N32" s="12"/>
      <c r="O32" s="12"/>
      <c r="P32" s="12"/>
      <c r="Q32" s="12"/>
      <c r="R32" s="12"/>
      <c r="S32" s="12"/>
      <c r="T32" s="12"/>
      <c r="U32" s="12"/>
      <c r="V32" s="12"/>
      <c r="W32" s="12"/>
      <c r="X32" s="12"/>
      <c r="Y32" s="12"/>
      <c r="Z32" s="12"/>
      <c r="AA32" s="12"/>
      <c r="AB32" s="12"/>
      <c r="AC32" s="12"/>
    </row>
    <row r="33" spans="7:38" ht="21" x14ac:dyDescent="0.25">
      <c r="G33" s="12"/>
      <c r="H33" s="12"/>
      <c r="I33" s="12"/>
      <c r="J33" s="12"/>
      <c r="K33" s="13"/>
      <c r="L33" s="12"/>
      <c r="M33" s="12"/>
      <c r="N33" s="12"/>
      <c r="O33" s="12"/>
      <c r="P33" s="12"/>
      <c r="Q33" s="12"/>
      <c r="R33" s="12"/>
      <c r="S33" s="12"/>
      <c r="T33" s="12"/>
      <c r="U33" s="12"/>
      <c r="V33" s="12"/>
      <c r="W33" s="12"/>
      <c r="X33" s="12"/>
      <c r="Y33" s="12"/>
      <c r="Z33" s="12"/>
      <c r="AA33" s="12"/>
      <c r="AB33" s="12"/>
      <c r="AC33" s="12"/>
    </row>
    <row r="34" spans="7:38" x14ac:dyDescent="0.25">
      <c r="G34" s="12"/>
      <c r="H34" s="12"/>
      <c r="I34" s="12"/>
      <c r="J34" s="12"/>
      <c r="K34" s="12"/>
      <c r="L34" s="12"/>
      <c r="M34" s="12"/>
      <c r="N34" s="12"/>
      <c r="O34" s="12"/>
      <c r="P34" s="12"/>
      <c r="Q34" s="12"/>
      <c r="R34" s="12"/>
      <c r="S34" s="12"/>
      <c r="T34" s="12"/>
      <c r="U34" s="12"/>
      <c r="V34" s="12"/>
      <c r="W34" s="12"/>
      <c r="X34" s="12"/>
      <c r="Y34" s="12"/>
      <c r="Z34" s="12"/>
      <c r="AA34" s="12"/>
      <c r="AB34" s="12"/>
      <c r="AC34" s="12"/>
    </row>
    <row r="35" spans="7:38" x14ac:dyDescent="0.25">
      <c r="G35" s="12"/>
      <c r="H35" s="12"/>
      <c r="I35" s="12"/>
      <c r="J35" s="12"/>
      <c r="K35" s="12"/>
      <c r="L35" s="12"/>
      <c r="M35" s="12"/>
      <c r="N35" s="12"/>
      <c r="O35" s="12"/>
      <c r="P35" s="12"/>
      <c r="Q35" s="12"/>
      <c r="R35" s="12"/>
      <c r="S35" s="12"/>
      <c r="T35" s="12"/>
      <c r="U35" s="12"/>
      <c r="V35" s="12"/>
      <c r="W35" s="12"/>
      <c r="X35" s="12"/>
      <c r="Y35" s="12"/>
      <c r="Z35" s="12"/>
      <c r="AA35" s="12"/>
      <c r="AB35" s="12"/>
      <c r="AC35" s="12"/>
    </row>
    <row r="36" spans="7:38" x14ac:dyDescent="0.25">
      <c r="G36" s="12"/>
      <c r="H36" s="12"/>
      <c r="I36" s="12"/>
      <c r="J36" s="12"/>
      <c r="K36" s="12"/>
      <c r="L36" s="12"/>
      <c r="M36" s="12"/>
      <c r="N36" s="12"/>
      <c r="O36" s="12"/>
      <c r="P36" s="12"/>
      <c r="Q36" s="12"/>
      <c r="R36" s="12"/>
      <c r="S36" s="12"/>
      <c r="T36" s="12"/>
      <c r="U36" s="12"/>
      <c r="V36" s="12"/>
      <c r="W36" s="12"/>
      <c r="X36" s="12"/>
      <c r="Y36" s="12"/>
      <c r="Z36" s="12"/>
      <c r="AA36" s="12"/>
      <c r="AB36" s="12"/>
      <c r="AC36" s="12"/>
    </row>
    <row r="37" spans="7:38" x14ac:dyDescent="0.25">
      <c r="G37" s="12"/>
      <c r="H37" s="12"/>
      <c r="I37" s="12"/>
      <c r="J37" s="12"/>
      <c r="K37" s="12"/>
      <c r="L37" s="12"/>
      <c r="M37" s="12"/>
      <c r="N37" s="12"/>
      <c r="O37" s="12"/>
      <c r="P37" s="12"/>
      <c r="Q37" s="12"/>
      <c r="R37" s="12"/>
      <c r="S37" s="12"/>
      <c r="T37" s="12"/>
      <c r="U37" s="12"/>
      <c r="V37" s="12"/>
      <c r="W37" s="12"/>
      <c r="X37" s="12"/>
      <c r="Y37" s="12"/>
      <c r="Z37" s="12"/>
      <c r="AA37" s="12"/>
      <c r="AB37" s="12"/>
      <c r="AC37" s="12"/>
    </row>
    <row r="38" spans="7:38" x14ac:dyDescent="0.25">
      <c r="G38" s="12"/>
      <c r="H38" s="12"/>
      <c r="I38" s="12"/>
      <c r="J38" s="12"/>
      <c r="K38" s="12"/>
      <c r="L38" s="12"/>
      <c r="M38" s="12"/>
      <c r="N38" s="12"/>
      <c r="O38" s="12"/>
      <c r="P38" s="12"/>
      <c r="Q38" s="12"/>
      <c r="R38" s="12"/>
      <c r="S38" s="12"/>
      <c r="T38" s="12"/>
      <c r="U38" s="12"/>
      <c r="V38" s="12"/>
      <c r="W38" s="12"/>
      <c r="X38" s="12"/>
      <c r="Y38" s="12"/>
      <c r="Z38" s="12"/>
      <c r="AA38" s="12"/>
      <c r="AB38" s="12"/>
      <c r="AC38" s="12"/>
    </row>
    <row r="39" spans="7:38" x14ac:dyDescent="0.25">
      <c r="G39" s="12"/>
      <c r="H39" s="12"/>
      <c r="I39" s="12"/>
      <c r="J39" s="12"/>
      <c r="K39" s="12"/>
      <c r="L39" s="12"/>
      <c r="M39" s="12"/>
      <c r="N39" s="12"/>
      <c r="O39" s="12"/>
      <c r="P39" s="12"/>
      <c r="Q39" s="12"/>
      <c r="R39" s="12"/>
      <c r="S39" s="12"/>
      <c r="T39" s="12"/>
      <c r="U39" s="12"/>
      <c r="V39" s="12"/>
      <c r="W39" s="12"/>
      <c r="X39" s="12"/>
      <c r="Y39" s="12"/>
      <c r="Z39" s="12"/>
      <c r="AA39" s="12"/>
      <c r="AB39" s="12"/>
      <c r="AC39" s="12"/>
    </row>
    <row r="40" spans="7:38" x14ac:dyDescent="0.25">
      <c r="G40" s="12"/>
      <c r="H40" s="12">
        <f>E40</f>
        <v>0</v>
      </c>
      <c r="I40" s="12"/>
      <c r="J40" s="12"/>
      <c r="K40" s="12"/>
      <c r="L40" s="12"/>
      <c r="M40" s="12"/>
      <c r="N40" s="12"/>
      <c r="O40" s="12"/>
      <c r="P40" s="12"/>
      <c r="Q40" s="12"/>
      <c r="R40" s="12"/>
      <c r="S40" s="12"/>
      <c r="T40" s="12"/>
      <c r="U40" s="12"/>
      <c r="V40" s="12"/>
      <c r="W40" s="12"/>
      <c r="X40" s="12"/>
      <c r="Y40" s="12"/>
      <c r="Z40" s="12"/>
      <c r="AA40" s="12"/>
      <c r="AB40" s="12"/>
      <c r="AC40" s="12"/>
    </row>
    <row r="41" spans="7:38" x14ac:dyDescent="0.25">
      <c r="G41" s="12"/>
      <c r="H41" s="12"/>
      <c r="I41" s="12"/>
      <c r="J41" s="12"/>
      <c r="K41" s="12"/>
      <c r="L41" s="12"/>
      <c r="M41" s="12"/>
      <c r="N41" s="12"/>
      <c r="O41" s="12"/>
      <c r="P41" s="12"/>
      <c r="Q41" s="12"/>
      <c r="R41" s="12"/>
      <c r="S41" s="12"/>
      <c r="T41" s="12"/>
      <c r="U41" s="12"/>
      <c r="V41" s="12"/>
      <c r="W41" s="12"/>
      <c r="X41" s="12"/>
      <c r="Y41" s="12"/>
      <c r="Z41" s="12"/>
      <c r="AA41" s="12"/>
      <c r="AB41" s="12"/>
      <c r="AC41" s="12"/>
    </row>
    <row r="42" spans="7:38" ht="18.75" x14ac:dyDescent="0.3">
      <c r="G42" s="12"/>
      <c r="H42" s="12"/>
      <c r="I42" s="12"/>
      <c r="J42" s="12"/>
      <c r="K42" s="12"/>
      <c r="L42" s="12"/>
      <c r="M42" s="12"/>
      <c r="N42" s="12"/>
      <c r="O42" s="12"/>
      <c r="P42" s="12"/>
      <c r="Q42" s="12"/>
      <c r="R42" s="12"/>
      <c r="S42" s="12"/>
      <c r="T42" s="12"/>
      <c r="U42" s="12"/>
      <c r="V42" s="12"/>
      <c r="W42" s="12"/>
      <c r="X42" s="12"/>
      <c r="Y42" s="12"/>
      <c r="Z42" s="12"/>
      <c r="AA42" s="12"/>
      <c r="AB42" s="12"/>
      <c r="AC42" s="12"/>
      <c r="AJ42" s="20" t="s">
        <v>74</v>
      </c>
      <c r="AK42" s="20"/>
    </row>
    <row r="43" spans="7:38" x14ac:dyDescent="0.25">
      <c r="G43" s="12"/>
      <c r="H43" s="12"/>
      <c r="I43" s="12"/>
      <c r="J43" s="12"/>
      <c r="K43" s="12"/>
      <c r="L43" s="12"/>
      <c r="M43" s="12"/>
      <c r="N43" s="12"/>
      <c r="O43" s="12"/>
      <c r="P43" s="12"/>
      <c r="Q43" s="12"/>
      <c r="R43" s="12"/>
      <c r="S43" s="12"/>
      <c r="T43" s="12"/>
      <c r="U43" s="12"/>
      <c r="V43" s="12"/>
      <c r="W43" s="12"/>
      <c r="X43" s="12"/>
      <c r="Y43" s="12"/>
      <c r="Z43" s="12"/>
      <c r="AA43" s="12"/>
      <c r="AB43" s="12"/>
      <c r="AC43" s="12"/>
    </row>
    <row r="44" spans="7:38" x14ac:dyDescent="0.25">
      <c r="G44" s="12"/>
      <c r="H44" s="12"/>
      <c r="I44" s="12"/>
      <c r="J44" s="12"/>
      <c r="K44" s="12"/>
      <c r="L44" s="12"/>
      <c r="M44" s="12"/>
      <c r="N44" s="12"/>
      <c r="O44" s="12"/>
      <c r="P44" s="12"/>
      <c r="Q44" s="12"/>
      <c r="R44" s="12"/>
      <c r="S44" s="12"/>
      <c r="T44" s="12"/>
      <c r="U44" s="12"/>
      <c r="V44" s="12"/>
      <c r="W44" s="12"/>
      <c r="X44" s="12"/>
      <c r="Y44" s="12"/>
      <c r="Z44" s="12"/>
      <c r="AA44" s="12"/>
      <c r="AB44" s="12"/>
      <c r="AC44" s="12"/>
    </row>
    <row r="45" spans="7:38" x14ac:dyDescent="0.25">
      <c r="G45" s="12"/>
      <c r="H45" s="12"/>
      <c r="I45" s="12"/>
      <c r="J45" s="12"/>
      <c r="K45" s="12"/>
      <c r="L45" s="12"/>
      <c r="M45" s="12"/>
      <c r="N45" s="12"/>
      <c r="O45" s="12"/>
      <c r="P45" s="12"/>
      <c r="Q45" s="12"/>
      <c r="R45" s="12"/>
      <c r="S45" s="12"/>
      <c r="T45" s="12"/>
      <c r="U45" s="12"/>
      <c r="V45" s="12"/>
      <c r="W45" s="12"/>
      <c r="X45" s="12"/>
      <c r="Y45" s="12"/>
      <c r="Z45" s="12"/>
      <c r="AA45" s="12"/>
      <c r="AB45" s="12"/>
      <c r="AC45" s="12"/>
      <c r="AJ45" t="s">
        <v>60</v>
      </c>
      <c r="AL45" s="21">
        <f>IFERROR(GETPIVOTDATA("Total Sales",'PivotTables and PivotCharts'!$G$47),"")</f>
        <v>2492000</v>
      </c>
    </row>
    <row r="46" spans="7:38" x14ac:dyDescent="0.25">
      <c r="G46" s="12"/>
      <c r="H46" s="12"/>
      <c r="I46" s="12"/>
      <c r="J46" s="12"/>
      <c r="K46" s="12"/>
      <c r="L46" s="12"/>
      <c r="M46" s="12"/>
      <c r="N46" s="12"/>
      <c r="O46" s="12"/>
      <c r="P46" s="12"/>
      <c r="Q46" s="12"/>
      <c r="R46" s="12"/>
      <c r="S46" s="12"/>
      <c r="T46" s="12"/>
      <c r="U46" s="12"/>
      <c r="V46" s="12"/>
      <c r="W46" s="12"/>
      <c r="X46" s="12"/>
      <c r="Y46" s="12"/>
      <c r="Z46" s="12"/>
      <c r="AA46" s="12"/>
      <c r="AB46" s="12"/>
      <c r="AC46" s="12"/>
    </row>
    <row r="47" spans="7:38" x14ac:dyDescent="0.25">
      <c r="G47" s="12"/>
      <c r="H47" s="12"/>
      <c r="I47" s="12"/>
      <c r="J47" s="12"/>
      <c r="K47" s="12"/>
      <c r="L47" s="12"/>
      <c r="M47" s="12"/>
      <c r="N47" s="12"/>
      <c r="O47" s="12"/>
      <c r="P47" s="12"/>
      <c r="Q47" s="12"/>
      <c r="R47" s="12"/>
      <c r="S47" s="12"/>
      <c r="T47" s="12"/>
      <c r="U47" s="12"/>
      <c r="V47" s="12"/>
      <c r="W47" s="12"/>
      <c r="X47" s="12"/>
      <c r="Y47" s="12"/>
      <c r="Z47" s="12"/>
      <c r="AA47" s="12"/>
      <c r="AB47" s="12"/>
      <c r="AC47" s="12"/>
      <c r="AJ47" t="s">
        <v>61</v>
      </c>
      <c r="AL47">
        <f>GETPIVOTDATA("Total Quantity",'PivotTables and PivotCharts'!$G$47)</f>
        <v>160</v>
      </c>
    </row>
    <row r="48" spans="7:38" x14ac:dyDescent="0.25">
      <c r="G48" s="12"/>
      <c r="H48" s="12"/>
      <c r="I48" s="12"/>
      <c r="J48" s="12"/>
      <c r="K48" s="12"/>
      <c r="L48" s="12"/>
      <c r="M48" s="12"/>
      <c r="N48" s="12"/>
      <c r="O48" s="12"/>
      <c r="P48" s="12"/>
      <c r="Q48" s="12"/>
      <c r="R48" s="12"/>
      <c r="S48" s="12"/>
      <c r="T48" s="12"/>
      <c r="U48" s="12"/>
      <c r="V48" s="12"/>
      <c r="W48" s="12"/>
      <c r="X48" s="12"/>
      <c r="Y48" s="12"/>
      <c r="Z48" s="12"/>
      <c r="AA48" s="12"/>
      <c r="AB48" s="12"/>
      <c r="AC48" s="12"/>
    </row>
    <row r="49" spans="7:39" x14ac:dyDescent="0.25">
      <c r="G49" s="12"/>
      <c r="H49" s="12"/>
      <c r="I49" s="12"/>
      <c r="J49" s="12"/>
      <c r="K49" s="12"/>
      <c r="L49" s="12"/>
      <c r="M49" s="12"/>
      <c r="N49" s="12"/>
      <c r="O49" s="12"/>
      <c r="P49" s="12"/>
      <c r="Q49" s="12"/>
      <c r="R49" s="12"/>
      <c r="S49" s="12"/>
      <c r="T49" s="12"/>
      <c r="U49" s="12"/>
      <c r="V49" s="12"/>
      <c r="W49" s="12"/>
      <c r="X49" s="12"/>
      <c r="Y49" s="12"/>
      <c r="Z49" s="12"/>
      <c r="AA49" s="12"/>
      <c r="AB49" s="12"/>
      <c r="AC49" s="12"/>
      <c r="AJ49" t="s">
        <v>8</v>
      </c>
      <c r="AL49">
        <f>GETPIVOTDATA("Total Profit",'PivotTables and PivotCharts'!$G$47)</f>
        <v>623000</v>
      </c>
    </row>
    <row r="50" spans="7:39" x14ac:dyDescent="0.25">
      <c r="G50" s="12"/>
      <c r="H50" s="12"/>
      <c r="I50" s="12"/>
      <c r="J50" s="12"/>
      <c r="K50" s="12"/>
      <c r="L50" s="12"/>
      <c r="M50" s="12"/>
      <c r="N50" s="12"/>
      <c r="O50" s="12"/>
      <c r="P50" s="12"/>
      <c r="Q50" s="12"/>
      <c r="R50" s="12"/>
      <c r="S50" s="12"/>
      <c r="T50" s="12"/>
      <c r="U50" s="12"/>
      <c r="V50" s="12"/>
      <c r="W50" s="12"/>
      <c r="X50" s="12"/>
      <c r="Y50" s="12"/>
      <c r="Z50" s="12"/>
      <c r="AA50" s="12"/>
      <c r="AB50" s="12"/>
      <c r="AC50" s="12"/>
    </row>
    <row r="51" spans="7:39" x14ac:dyDescent="0.25">
      <c r="G51" s="12"/>
      <c r="H51" s="12"/>
      <c r="I51" s="12"/>
      <c r="J51" s="12"/>
      <c r="K51" s="12"/>
      <c r="L51" s="12"/>
      <c r="M51" s="12"/>
      <c r="N51" s="12"/>
      <c r="O51" s="12"/>
      <c r="P51" s="12"/>
      <c r="Q51" s="12"/>
      <c r="R51" s="12"/>
      <c r="S51" s="12"/>
      <c r="T51" s="12"/>
      <c r="U51" s="12"/>
      <c r="V51" s="12"/>
      <c r="W51" s="12"/>
      <c r="X51" s="12"/>
      <c r="Y51" s="12"/>
      <c r="Z51" s="12"/>
      <c r="AA51" s="12"/>
      <c r="AB51" s="12"/>
      <c r="AC51" s="12"/>
      <c r="AJ51" t="s">
        <v>7</v>
      </c>
      <c r="AL51">
        <f>GETPIVOTDATA("Total Cost",'PivotTables and PivotCharts'!$G$47)</f>
        <v>1869000</v>
      </c>
    </row>
    <row r="52" spans="7:39" x14ac:dyDescent="0.25">
      <c r="G52" s="12"/>
      <c r="H52" s="12"/>
      <c r="I52" s="12"/>
      <c r="J52" s="12"/>
      <c r="K52" s="12"/>
      <c r="L52" s="12"/>
      <c r="M52" s="12"/>
      <c r="N52" s="12"/>
      <c r="O52" s="12"/>
      <c r="P52" s="12"/>
      <c r="Q52" s="12"/>
      <c r="R52" s="12"/>
      <c r="S52" s="12"/>
      <c r="T52" s="12"/>
      <c r="U52" s="12"/>
      <c r="V52" s="12"/>
      <c r="W52" s="12"/>
      <c r="X52" s="12"/>
      <c r="Y52" s="12"/>
      <c r="Z52" s="12"/>
      <c r="AA52" s="12"/>
      <c r="AB52" s="12"/>
      <c r="AC52" s="12"/>
    </row>
    <row r="53" spans="7:39" x14ac:dyDescent="0.25">
      <c r="G53" s="12"/>
      <c r="H53" s="12"/>
      <c r="I53" s="12"/>
      <c r="J53" s="12"/>
      <c r="K53" s="12"/>
      <c r="L53" s="12"/>
      <c r="M53" s="12"/>
      <c r="N53" s="12"/>
      <c r="O53" s="12"/>
      <c r="P53" s="12"/>
      <c r="Q53" s="12"/>
      <c r="R53" s="12"/>
      <c r="S53" s="12"/>
      <c r="T53" s="12"/>
      <c r="U53" s="12"/>
      <c r="V53" s="12"/>
      <c r="W53" s="12"/>
      <c r="X53" s="12"/>
      <c r="Y53" s="12"/>
      <c r="Z53" s="12"/>
      <c r="AA53" s="12"/>
      <c r="AB53" s="12"/>
      <c r="AC53" s="12"/>
      <c r="AJ53" t="s">
        <v>62</v>
      </c>
      <c r="AM53">
        <f>GETPIVOTDATA("Average of Sales Amount",'PivotTables and PivotCharts'!$G$47)</f>
        <v>62300</v>
      </c>
    </row>
    <row r="54" spans="7:39" x14ac:dyDescent="0.25">
      <c r="G54" s="12"/>
      <c r="H54" s="12"/>
      <c r="I54" s="12"/>
      <c r="J54" s="12"/>
      <c r="K54" s="12"/>
      <c r="L54" s="12"/>
      <c r="M54" s="12"/>
      <c r="N54" s="12"/>
      <c r="O54" s="12"/>
      <c r="P54" s="12"/>
      <c r="Q54" s="12"/>
      <c r="R54" s="12"/>
      <c r="S54" s="12"/>
      <c r="T54" s="12"/>
      <c r="U54" s="12"/>
      <c r="V54" s="12"/>
      <c r="W54" s="12"/>
      <c r="X54" s="12"/>
      <c r="Y54" s="12"/>
      <c r="Z54" s="12"/>
      <c r="AA54" s="12"/>
      <c r="AB54" s="12"/>
      <c r="AC54" s="12"/>
    </row>
    <row r="55" spans="7:39" x14ac:dyDescent="0.25">
      <c r="G55" s="12"/>
      <c r="H55" s="12"/>
      <c r="I55" s="12"/>
      <c r="J55" s="12"/>
      <c r="K55" s="12"/>
      <c r="L55" s="12"/>
      <c r="M55" s="12"/>
      <c r="N55" s="12"/>
      <c r="O55" s="12"/>
      <c r="P55" s="12"/>
      <c r="Q55" s="12"/>
      <c r="R55" s="12"/>
      <c r="S55" s="12"/>
      <c r="T55" s="12"/>
      <c r="U55" s="12"/>
      <c r="V55" s="12"/>
      <c r="W55" s="12"/>
      <c r="X55" s="12"/>
      <c r="Y55" s="12"/>
      <c r="Z55" s="12"/>
      <c r="AA55" s="12"/>
      <c r="AB55" s="12"/>
      <c r="AC55" s="12"/>
      <c r="AJ55" t="s">
        <v>65</v>
      </c>
      <c r="AL55" s="3">
        <f>AL49/AL45</f>
        <v>0.25</v>
      </c>
    </row>
    <row r="56" spans="7:39" x14ac:dyDescent="0.25">
      <c r="G56" s="12"/>
      <c r="H56" s="12"/>
      <c r="I56" s="12"/>
      <c r="J56" s="12"/>
      <c r="K56" s="12"/>
      <c r="L56" s="12"/>
      <c r="M56" s="12"/>
      <c r="N56" s="12"/>
      <c r="O56" s="12"/>
      <c r="P56" s="12"/>
      <c r="Q56" s="12"/>
      <c r="R56" s="12"/>
      <c r="S56" s="12"/>
      <c r="T56" s="12"/>
      <c r="U56" s="12"/>
      <c r="V56" s="12"/>
      <c r="W56" s="12"/>
      <c r="X56" s="12"/>
      <c r="Y56" s="12"/>
      <c r="Z56" s="12"/>
      <c r="AA56" s="12"/>
      <c r="AB56" s="12"/>
      <c r="AC56" s="12"/>
    </row>
    <row r="57" spans="7:39" x14ac:dyDescent="0.25">
      <c r="G57" s="12"/>
      <c r="H57" s="12"/>
      <c r="I57" s="12"/>
      <c r="J57" s="12"/>
      <c r="K57" s="12"/>
      <c r="L57" s="12"/>
      <c r="M57" s="12"/>
      <c r="N57" s="12"/>
      <c r="O57" s="12"/>
      <c r="P57" s="12"/>
      <c r="Q57" s="12"/>
      <c r="R57" s="12"/>
      <c r="S57" s="12"/>
      <c r="T57" s="12"/>
      <c r="U57" s="12"/>
      <c r="V57" s="12"/>
      <c r="W57" s="12"/>
      <c r="X57" s="12"/>
      <c r="Y57" s="12"/>
      <c r="Z57" s="12"/>
      <c r="AA57" s="12"/>
      <c r="AB57" s="12"/>
      <c r="AC57" s="12"/>
    </row>
    <row r="58" spans="7:39" x14ac:dyDescent="0.25">
      <c r="G58" s="12"/>
      <c r="H58" s="12"/>
      <c r="I58" s="12"/>
      <c r="J58" s="12"/>
      <c r="K58" s="12"/>
      <c r="L58" s="12"/>
      <c r="M58" s="12"/>
      <c r="N58" s="12"/>
      <c r="O58" s="12"/>
      <c r="P58" s="12"/>
      <c r="Q58" s="12"/>
      <c r="R58" s="12"/>
      <c r="S58" s="12"/>
      <c r="T58" s="12"/>
      <c r="U58" s="12"/>
      <c r="V58" s="12"/>
      <c r="W58" s="12"/>
      <c r="X58" s="12"/>
      <c r="Y58" s="12"/>
      <c r="Z58" s="12"/>
      <c r="AA58" s="12"/>
      <c r="AB58" s="12"/>
      <c r="AC58" s="12"/>
    </row>
    <row r="59" spans="7:39" x14ac:dyDescent="0.25">
      <c r="G59" s="12"/>
      <c r="H59" s="12"/>
      <c r="I59" s="12"/>
      <c r="J59" s="12"/>
      <c r="K59" s="12"/>
      <c r="L59" s="12"/>
      <c r="M59" s="12"/>
      <c r="N59" s="12"/>
      <c r="O59" s="12"/>
      <c r="P59" s="12"/>
      <c r="Q59" s="12"/>
      <c r="R59" s="12"/>
      <c r="S59" s="12"/>
      <c r="T59" s="12"/>
      <c r="U59" s="12"/>
      <c r="V59" s="12"/>
      <c r="W59" s="12"/>
      <c r="X59" s="12"/>
      <c r="Y59" s="12"/>
      <c r="Z59" s="12"/>
      <c r="AA59" s="12"/>
      <c r="AB59" s="12"/>
      <c r="AC59"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AA5A9115-828A-4456-93D2-17E14FC7F0BD}">
  <ds:schemaRefs/>
</ds:datastoreItem>
</file>

<file path=customXml/itemProps2.xml><?xml version="1.0" encoding="utf-8"?>
<ds:datastoreItem xmlns:ds="http://schemas.openxmlformats.org/officeDocument/2006/customXml" ds:itemID="{785E310F-A7EA-40E1-A62E-9DDBC8734EAD}">
  <ds:schemaRefs/>
</ds:datastoreItem>
</file>

<file path=customXml/itemProps3.xml><?xml version="1.0" encoding="utf-8"?>
<ds:datastoreItem xmlns:ds="http://schemas.openxmlformats.org/officeDocument/2006/customXml" ds:itemID="{557FF072-59A4-4071-BDD7-C63BD719E507}">
  <ds:schemaRefs/>
</ds:datastoreItem>
</file>

<file path=customXml/itemProps4.xml><?xml version="1.0" encoding="utf-8"?>
<ds:datastoreItem xmlns:ds="http://schemas.openxmlformats.org/officeDocument/2006/customXml" ds:itemID="{BB336F73-1F42-4D20-930F-411CF4E6E41D}">
  <ds:schemaRefs>
    <ds:schemaRef ds:uri="http://schemas.microsoft.com/DataMashup"/>
  </ds:schemaRefs>
</ds:datastoreItem>
</file>

<file path=customXml/itemProps5.xml><?xml version="1.0" encoding="utf-8"?>
<ds:datastoreItem xmlns:ds="http://schemas.openxmlformats.org/officeDocument/2006/customXml" ds:itemID="{67BFA506-5BA0-4858-8EAE-E698E3ED3B4F}">
  <ds:schemaRefs/>
</ds:datastoreItem>
</file>

<file path=customXml/itemProps6.xml><?xml version="1.0" encoding="utf-8"?>
<ds:datastoreItem xmlns:ds="http://schemas.openxmlformats.org/officeDocument/2006/customXml" ds:itemID="{923D7236-B842-425C-A1A3-5F2B080B8510}">
  <ds:schemaRefs/>
</ds:datastoreItem>
</file>

<file path=customXml/itemProps7.xml><?xml version="1.0" encoding="utf-8"?>
<ds:datastoreItem xmlns:ds="http://schemas.openxmlformats.org/officeDocument/2006/customXml" ds:itemID="{455E58E9-163B-423C-8D29-5A4028BE3F92}">
  <ds:schemaRefs/>
</ds:datastoreItem>
</file>

<file path=customXml/itemProps8.xml><?xml version="1.0" encoding="utf-8"?>
<ds:datastoreItem xmlns:ds="http://schemas.openxmlformats.org/officeDocument/2006/customXml" ds:itemID="{099863DD-C13C-4770-9AB1-ED532455086D}">
  <ds:schemaRefs/>
</ds:datastoreItem>
</file>

<file path=customXml/itemProps9.xml><?xml version="1.0" encoding="utf-8"?>
<ds:datastoreItem xmlns:ds="http://schemas.openxmlformats.org/officeDocument/2006/customXml" ds:itemID="{8FF828F6-4734-414F-92EC-BADEC58B4DDB}">
  <ds:schemaRefs/>
</ds:datastoreItem>
</file>

<file path=customXml/itemProps10.xml><?xml version="1.0" encoding="utf-8"?>
<ds:datastoreItem xmlns:ds="http://schemas.openxmlformats.org/officeDocument/2006/customXml" ds:itemID="{C134300D-DB2E-4CA6-87CA-1D4FB2CB2E5A}">
  <ds:schemaRefs/>
</ds:datastoreItem>
</file>

<file path=customXml/itemProps11.xml><?xml version="1.0" encoding="utf-8"?>
<ds:datastoreItem xmlns:ds="http://schemas.openxmlformats.org/officeDocument/2006/customXml" ds:itemID="{761F271C-89F0-4406-8D71-D38C3BF25E91}">
  <ds:schemaRefs/>
</ds:datastoreItem>
</file>

<file path=customXml/itemProps12.xml><?xml version="1.0" encoding="utf-8"?>
<ds:datastoreItem xmlns:ds="http://schemas.openxmlformats.org/officeDocument/2006/customXml" ds:itemID="{7192F8BE-963F-418B-8CA4-51D4936DC58A}">
  <ds:schemaRefs/>
</ds:datastoreItem>
</file>

<file path=customXml/itemProps13.xml><?xml version="1.0" encoding="utf-8"?>
<ds:datastoreItem xmlns:ds="http://schemas.openxmlformats.org/officeDocument/2006/customXml" ds:itemID="{5DA184F0-CB95-423E-8A95-2A2026B380A1}">
  <ds:schemaRefs/>
</ds:datastoreItem>
</file>

<file path=customXml/itemProps14.xml><?xml version="1.0" encoding="utf-8"?>
<ds:datastoreItem xmlns:ds="http://schemas.openxmlformats.org/officeDocument/2006/customXml" ds:itemID="{EA0C5601-6BD5-445D-8CBF-90863B81B2C3}">
  <ds:schemaRefs/>
</ds:datastoreItem>
</file>

<file path=customXml/itemProps15.xml><?xml version="1.0" encoding="utf-8"?>
<ds:datastoreItem xmlns:ds="http://schemas.openxmlformats.org/officeDocument/2006/customXml" ds:itemID="{77A52111-666B-473C-BA68-7B4945F2B624}">
  <ds:schemaRefs/>
</ds:datastoreItem>
</file>

<file path=customXml/itemProps16.xml><?xml version="1.0" encoding="utf-8"?>
<ds:datastoreItem xmlns:ds="http://schemas.openxmlformats.org/officeDocument/2006/customXml" ds:itemID="{29E7F579-06B0-49B4-BF3D-EE2C8DFCCBBC}">
  <ds:schemaRefs/>
</ds:datastoreItem>
</file>

<file path=customXml/itemProps17.xml><?xml version="1.0" encoding="utf-8"?>
<ds:datastoreItem xmlns:ds="http://schemas.openxmlformats.org/officeDocument/2006/customXml" ds:itemID="{F5DF28BA-5CB5-481A-ACEF-BB23FF68447B}">
  <ds:schemaRefs/>
</ds:datastoreItem>
</file>

<file path=customXml/itemProps18.xml><?xml version="1.0" encoding="utf-8"?>
<ds:datastoreItem xmlns:ds="http://schemas.openxmlformats.org/officeDocument/2006/customXml" ds:itemID="{613E19E1-5B54-410B-B4FD-AE69813D851A}">
  <ds:schemaRefs/>
</ds:datastoreItem>
</file>

<file path=customXml/itemProps19.xml><?xml version="1.0" encoding="utf-8"?>
<ds:datastoreItem xmlns:ds="http://schemas.openxmlformats.org/officeDocument/2006/customXml" ds:itemID="{3EA7D7A0-26E5-43B9-BD55-ADE69DFD0376}">
  <ds:schemaRefs/>
</ds:datastoreItem>
</file>

<file path=customXml/itemProps20.xml><?xml version="1.0" encoding="utf-8"?>
<ds:datastoreItem xmlns:ds="http://schemas.openxmlformats.org/officeDocument/2006/customXml" ds:itemID="{CB4CFA6B-D2D0-4C3F-B912-0AC77836F651}">
  <ds:schemaRefs/>
</ds:datastoreItem>
</file>

<file path=customXml/itemProps21.xml><?xml version="1.0" encoding="utf-8"?>
<ds:datastoreItem xmlns:ds="http://schemas.openxmlformats.org/officeDocument/2006/customXml" ds:itemID="{83D76871-C799-4B13-8985-857A73404F6C}">
  <ds:schemaRefs/>
</ds:datastoreItem>
</file>

<file path=customXml/itemProps22.xml><?xml version="1.0" encoding="utf-8"?>
<ds:datastoreItem xmlns:ds="http://schemas.openxmlformats.org/officeDocument/2006/customXml" ds:itemID="{8AC5DB11-46D9-4E31-8364-B1DE9349E38F}">
  <ds:schemaRefs/>
</ds:datastoreItem>
</file>

<file path=customXml/itemProps23.xml><?xml version="1.0" encoding="utf-8"?>
<ds:datastoreItem xmlns:ds="http://schemas.openxmlformats.org/officeDocument/2006/customXml" ds:itemID="{7A7AA31D-6247-4D5F-8909-7960785E2021}">
  <ds:schemaRefs/>
</ds:datastoreItem>
</file>

<file path=customXml/itemProps24.xml><?xml version="1.0" encoding="utf-8"?>
<ds:datastoreItem xmlns:ds="http://schemas.openxmlformats.org/officeDocument/2006/customXml" ds:itemID="{BB8B3C20-97AC-484F-8E0A-2339C0A650A2}">
  <ds:schemaRefs/>
</ds:datastoreItem>
</file>

<file path=customXml/itemProps25.xml><?xml version="1.0" encoding="utf-8"?>
<ds:datastoreItem xmlns:ds="http://schemas.openxmlformats.org/officeDocument/2006/customXml" ds:itemID="{A1599920-F09D-4B44-9F82-408D88CA1D7A}">
  <ds:schemaRefs/>
</ds:datastoreItem>
</file>

<file path=customXml/itemProps26.xml><?xml version="1.0" encoding="utf-8"?>
<ds:datastoreItem xmlns:ds="http://schemas.openxmlformats.org/officeDocument/2006/customXml" ds:itemID="{850A9509-8B27-4A33-B5A6-AD7E711FD210}">
  <ds:schemaRefs/>
</ds:datastoreItem>
</file>

<file path=customXml/itemProps27.xml><?xml version="1.0" encoding="utf-8"?>
<ds:datastoreItem xmlns:ds="http://schemas.openxmlformats.org/officeDocument/2006/customXml" ds:itemID="{6655B1A5-F79A-4026-AE1A-4E8E6EA6E2E0}">
  <ds:schemaRefs/>
</ds:datastoreItem>
</file>

<file path=customXml/itemProps28.xml><?xml version="1.0" encoding="utf-8"?>
<ds:datastoreItem xmlns:ds="http://schemas.openxmlformats.org/officeDocument/2006/customXml" ds:itemID="{CE4C2DEF-D98B-4E5A-A6D2-79CE11D3A220}">
  <ds:schemaRefs/>
</ds:datastoreItem>
</file>

<file path=customXml/itemProps29.xml><?xml version="1.0" encoding="utf-8"?>
<ds:datastoreItem xmlns:ds="http://schemas.openxmlformats.org/officeDocument/2006/customXml" ds:itemID="{3C7B38C0-9CD3-4CAD-A86A-077EB95C5CE3}">
  <ds:schemaRefs/>
</ds:datastoreItem>
</file>

<file path=customXml/itemProps30.xml><?xml version="1.0" encoding="utf-8"?>
<ds:datastoreItem xmlns:ds="http://schemas.openxmlformats.org/officeDocument/2006/customXml" ds:itemID="{0F92B75B-46E7-4F46-BFF8-2D9A2DB225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 1</vt:lpstr>
      <vt:lpstr>Sales Data 2</vt:lpstr>
      <vt:lpstr>Sales Data</vt:lpstr>
      <vt:lpstr>PivotTables and PivotCharts</vt:lpstr>
      <vt:lpstr>DAX Measures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2026-09-10T14:07:21Z</dcterms:created>
  <dcterms:modified xsi:type="dcterms:W3CDTF">2026-09-12T18:24:51Z</dcterms:modified>
</cp:coreProperties>
</file>